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kuameklaus/Desktop/Project Finance Modelling/Tema Cocoa Project/"/>
    </mc:Choice>
  </mc:AlternateContent>
  <xr:revisionPtr revIDLastSave="0" documentId="13_ncr:1_{FC40040F-A226-A940-9CBC-7E392232588E}" xr6:coauthVersionLast="47" xr6:coauthVersionMax="47" xr10:uidLastSave="{00000000-0000-0000-0000-000000000000}"/>
  <bookViews>
    <workbookView xWindow="0" yWindow="760" windowWidth="38400" windowHeight="24100" tabRatio="500" xr2:uid="{00000000-000D-0000-FFFF-FFFF00000000}"/>
  </bookViews>
  <sheets>
    <sheet name="Cover" sheetId="1" r:id="rId1"/>
    <sheet name="Assumptions" sheetId="2" r:id="rId2"/>
    <sheet name="Timing" sheetId="3" r:id="rId3"/>
    <sheet name="Construction" sheetId="4" r:id="rId4"/>
    <sheet name="Operations" sheetId="5" r:id="rId5"/>
    <sheet name="Debt" sheetId="6" r:id="rId6"/>
    <sheet name="Waterfall" sheetId="7" r:id="rId7"/>
    <sheet name="WorkingCap" sheetId="8" r:id="rId8"/>
    <sheet name="Reserves" sheetId="9" r:id="rId9"/>
    <sheet name="Outputs" sheetId="10" r:id="rId10"/>
    <sheet name="Sensitivities" sheetId="11" r:id="rId11"/>
    <sheet name="Audit" sheetId="12" r:id="rId12"/>
    <sheet name="Glossary" sheetId="13" r:id="rId13"/>
    <sheet name="Charts" sheetId="14"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11" l="1"/>
  <c r="D29" i="4"/>
  <c r="G42" i="3" l="1"/>
  <c r="O10" i="5" s="1"/>
  <c r="G4" i="14"/>
  <c r="C5" i="11"/>
  <c r="C5" i="9"/>
  <c r="C5" i="8"/>
  <c r="C5" i="7"/>
  <c r="C5" i="6"/>
  <c r="C5" i="5"/>
  <c r="C4" i="4"/>
  <c r="C35" i="12"/>
  <c r="C31" i="12"/>
  <c r="C18" i="12"/>
  <c r="C17" i="12"/>
  <c r="C16" i="12"/>
  <c r="C15" i="12"/>
  <c r="E13" i="11"/>
  <c r="D13" i="11"/>
  <c r="E12" i="11"/>
  <c r="D12" i="11"/>
  <c r="C12" i="11"/>
  <c r="E9" i="11"/>
  <c r="D9" i="11"/>
  <c r="C9" i="11"/>
  <c r="E8" i="11"/>
  <c r="E19" i="11" s="1"/>
  <c r="D8" i="11"/>
  <c r="C8" i="11"/>
  <c r="C19" i="11" s="1"/>
  <c r="B27" i="4"/>
  <c r="B26" i="4"/>
  <c r="B25" i="4"/>
  <c r="B24" i="4"/>
  <c r="B23" i="4"/>
  <c r="B22" i="4"/>
  <c r="B21" i="4"/>
  <c r="B20" i="4"/>
  <c r="B19" i="4"/>
  <c r="B18" i="4"/>
  <c r="B17" i="4"/>
  <c r="B16" i="4"/>
  <c r="B15" i="4"/>
  <c r="B14" i="4"/>
  <c r="B13" i="4"/>
  <c r="B12" i="4"/>
  <c r="B11" i="4"/>
  <c r="B10" i="4"/>
  <c r="L10" i="4" s="1"/>
  <c r="G49" i="3"/>
  <c r="V10" i="5" s="1"/>
  <c r="D49" i="3"/>
  <c r="V9" i="5" s="1"/>
  <c r="C49" i="3"/>
  <c r="V8" i="5" s="1"/>
  <c r="G48" i="3"/>
  <c r="U10" i="5" s="1"/>
  <c r="D48" i="3"/>
  <c r="U9" i="5" s="1"/>
  <c r="C48" i="3"/>
  <c r="U8" i="5" s="1"/>
  <c r="G47" i="3"/>
  <c r="T10" i="5" s="1"/>
  <c r="D47" i="3"/>
  <c r="T9" i="5" s="1"/>
  <c r="C47" i="3"/>
  <c r="T8" i="5" s="1"/>
  <c r="G46" i="3"/>
  <c r="S10" i="5" s="1"/>
  <c r="D46" i="3"/>
  <c r="S9" i="5" s="1"/>
  <c r="C46" i="3"/>
  <c r="S8" i="5" s="1"/>
  <c r="G45" i="3"/>
  <c r="R10" i="5" s="1"/>
  <c r="D45" i="3"/>
  <c r="R9" i="5" s="1"/>
  <c r="C45" i="3"/>
  <c r="R8" i="5" s="1"/>
  <c r="G44" i="3"/>
  <c r="Q10" i="5" s="1"/>
  <c r="D44" i="3"/>
  <c r="Q9" i="5" s="1"/>
  <c r="C44" i="3"/>
  <c r="Q8" i="5" s="1"/>
  <c r="G43" i="3"/>
  <c r="P10" i="5" s="1"/>
  <c r="D43" i="3"/>
  <c r="P9" i="5" s="1"/>
  <c r="C43" i="3"/>
  <c r="P8" i="5" s="1"/>
  <c r="D42" i="3"/>
  <c r="O9" i="5" s="1"/>
  <c r="C42" i="3"/>
  <c r="O8" i="5" s="1"/>
  <c r="G41" i="3"/>
  <c r="N10" i="5" s="1"/>
  <c r="D41" i="3"/>
  <c r="N9" i="5" s="1"/>
  <c r="C41" i="3"/>
  <c r="N8" i="5" s="1"/>
  <c r="G40" i="3"/>
  <c r="M10" i="5" s="1"/>
  <c r="D40" i="3"/>
  <c r="M9" i="5" s="1"/>
  <c r="C40" i="3"/>
  <c r="M8" i="5" s="1"/>
  <c r="G39" i="3"/>
  <c r="L10" i="5" s="1"/>
  <c r="D39" i="3"/>
  <c r="L9" i="5" s="1"/>
  <c r="C39" i="3"/>
  <c r="L8" i="5" s="1"/>
  <c r="G38" i="3"/>
  <c r="K10" i="5" s="1"/>
  <c r="D38" i="3"/>
  <c r="K9" i="5" s="1"/>
  <c r="C38" i="3"/>
  <c r="K8" i="5" s="1"/>
  <c r="G37" i="3"/>
  <c r="J10" i="5" s="1"/>
  <c r="D37" i="3"/>
  <c r="J9" i="5" s="1"/>
  <c r="C37" i="3"/>
  <c r="J8" i="5" s="1"/>
  <c r="G36" i="3"/>
  <c r="I10" i="5" s="1"/>
  <c r="D36" i="3"/>
  <c r="I9" i="5" s="1"/>
  <c r="C36" i="3"/>
  <c r="I8" i="5" s="1"/>
  <c r="G35" i="3"/>
  <c r="H10" i="5" s="1"/>
  <c r="D35" i="3"/>
  <c r="H9" i="5" s="1"/>
  <c r="C35" i="3"/>
  <c r="H8" i="5" s="1"/>
  <c r="G34" i="3"/>
  <c r="G10" i="5" s="1"/>
  <c r="D34" i="3"/>
  <c r="G9" i="5" s="1"/>
  <c r="C34" i="3"/>
  <c r="G8" i="5" s="1"/>
  <c r="G33" i="3"/>
  <c r="F10" i="5" s="1"/>
  <c r="D33" i="3"/>
  <c r="F9" i="5" s="1"/>
  <c r="C33" i="3"/>
  <c r="F8" i="5" s="1"/>
  <c r="G32" i="3"/>
  <c r="E10" i="5" s="1"/>
  <c r="D32" i="3"/>
  <c r="E9" i="5" s="1"/>
  <c r="C32" i="3"/>
  <c r="E8" i="5" s="1"/>
  <c r="G31" i="3"/>
  <c r="D10" i="5" s="1"/>
  <c r="D31" i="3"/>
  <c r="D9" i="5" s="1"/>
  <c r="C31" i="3"/>
  <c r="D8" i="5" s="1"/>
  <c r="G30" i="3"/>
  <c r="C10" i="5" s="1"/>
  <c r="D30" i="3"/>
  <c r="C9" i="5" s="1"/>
  <c r="C30" i="3"/>
  <c r="C8" i="5" s="1"/>
  <c r="E25" i="3"/>
  <c r="E24" i="3"/>
  <c r="E23" i="3"/>
  <c r="E22" i="3"/>
  <c r="E21" i="3"/>
  <c r="E20" i="3"/>
  <c r="E19" i="3"/>
  <c r="E18" i="3"/>
  <c r="E17" i="3"/>
  <c r="E16" i="3"/>
  <c r="E15" i="3"/>
  <c r="E14" i="3"/>
  <c r="E13" i="3"/>
  <c r="E12" i="3"/>
  <c r="E11" i="3"/>
  <c r="E10" i="3"/>
  <c r="E9" i="3"/>
  <c r="E8" i="3"/>
  <c r="D4" i="2"/>
  <c r="F69" i="2" s="1"/>
  <c r="H10" i="4" l="1"/>
  <c r="F76" i="2"/>
  <c r="M10" i="4" s="1"/>
  <c r="D10" i="11"/>
  <c r="F99" i="2"/>
  <c r="C10" i="11"/>
  <c r="C11" i="11" s="1"/>
  <c r="C14" i="11" s="1"/>
  <c r="F68" i="2"/>
  <c r="F9" i="2"/>
  <c r="F21" i="2"/>
  <c r="F51" i="2"/>
  <c r="F86" i="2"/>
  <c r="F36" i="2"/>
  <c r="F10" i="2"/>
  <c r="F22" i="2"/>
  <c r="F38" i="2"/>
  <c r="F52" i="2"/>
  <c r="F88" i="2"/>
  <c r="F11" i="2"/>
  <c r="F24" i="2"/>
  <c r="F41" i="2"/>
  <c r="F53" i="2"/>
  <c r="F73" i="2"/>
  <c r="F89" i="2"/>
  <c r="F12" i="2"/>
  <c r="M12" i="5" s="1"/>
  <c r="F26" i="2"/>
  <c r="F42" i="2"/>
  <c r="F54" i="2"/>
  <c r="F90" i="2"/>
  <c r="F14" i="2"/>
  <c r="F29" i="2"/>
  <c r="F43" i="2"/>
  <c r="F58" i="2"/>
  <c r="F78" i="2"/>
  <c r="F91" i="2"/>
  <c r="C18" i="8" s="1"/>
  <c r="C25" i="7" s="1"/>
  <c r="F20" i="2"/>
  <c r="F83" i="2"/>
  <c r="D4" i="12"/>
  <c r="D4" i="10"/>
  <c r="F94" i="2"/>
  <c r="F84" i="2"/>
  <c r="F72" i="2"/>
  <c r="J21" i="9" s="1"/>
  <c r="J22" i="9" s="1"/>
  <c r="F57" i="2"/>
  <c r="C8" i="3" s="1"/>
  <c r="F45" i="2"/>
  <c r="F33" i="2"/>
  <c r="F23" i="2"/>
  <c r="F13" i="2"/>
  <c r="F105" i="2"/>
  <c r="F92" i="2"/>
  <c r="F102" i="2"/>
  <c r="F97" i="2"/>
  <c r="F87" i="2"/>
  <c r="F75" i="2"/>
  <c r="F59" i="2"/>
  <c r="F49" i="2"/>
  <c r="F37" i="2"/>
  <c r="F25" i="2"/>
  <c r="F15" i="2"/>
  <c r="F32" i="2"/>
  <c r="F50" i="2"/>
  <c r="F100" i="2"/>
  <c r="F71" i="2"/>
  <c r="F16" i="2"/>
  <c r="F30" i="2"/>
  <c r="F44" i="2"/>
  <c r="F66" i="2"/>
  <c r="F80" i="2"/>
  <c r="F95" i="2"/>
  <c r="F17" i="2"/>
  <c r="F31" i="2"/>
  <c r="F46" i="2"/>
  <c r="F67" i="2"/>
  <c r="F82" i="2"/>
  <c r="C46" i="6" s="1"/>
  <c r="F98" i="2"/>
  <c r="D19" i="11"/>
  <c r="E10" i="11"/>
  <c r="V38" i="5" l="1"/>
  <c r="C40" i="5"/>
  <c r="C48" i="5"/>
  <c r="C19" i="5"/>
  <c r="C20" i="5" s="1"/>
  <c r="D12" i="12"/>
  <c r="H21" i="9"/>
  <c r="H22" i="9" s="1"/>
  <c r="C21" i="9"/>
  <c r="C22" i="9" s="1"/>
  <c r="K21" i="9"/>
  <c r="K22" i="9" s="1"/>
  <c r="K12" i="5"/>
  <c r="K13" i="5" s="1"/>
  <c r="K14" i="5" s="1"/>
  <c r="S21" i="9"/>
  <c r="S22" i="9" s="1"/>
  <c r="D17" i="12"/>
  <c r="Q12" i="5"/>
  <c r="Q13" i="5" s="1"/>
  <c r="Q14" i="5" s="1"/>
  <c r="M21" i="9"/>
  <c r="M22" i="9" s="1"/>
  <c r="V21" i="9"/>
  <c r="C12" i="5"/>
  <c r="C13" i="5" s="1"/>
  <c r="N21" i="9"/>
  <c r="N22" i="9" s="1"/>
  <c r="T21" i="9"/>
  <c r="T22" i="9" s="1"/>
  <c r="M13" i="5"/>
  <c r="M19" i="9" s="1"/>
  <c r="M22" i="7" s="1"/>
  <c r="O21" i="9"/>
  <c r="O22" i="9" s="1"/>
  <c r="G21" i="9"/>
  <c r="G22" i="9" s="1"/>
  <c r="P21" i="9"/>
  <c r="P22" i="9" s="1"/>
  <c r="R21" i="9"/>
  <c r="R22" i="9" s="1"/>
  <c r="D12" i="5"/>
  <c r="D13" i="5" s="1"/>
  <c r="D19" i="9" s="1"/>
  <c r="D22" i="7" s="1"/>
  <c r="F21" i="9"/>
  <c r="F22" i="9" s="1"/>
  <c r="D15" i="11"/>
  <c r="D11" i="11"/>
  <c r="D14" i="11" s="1"/>
  <c r="J12" i="5"/>
  <c r="J13" i="5" s="1"/>
  <c r="J19" i="9" s="1"/>
  <c r="J22" i="7" s="1"/>
  <c r="P12" i="5"/>
  <c r="P13" i="5" s="1"/>
  <c r="P19" i="9" s="1"/>
  <c r="P22" i="7" s="1"/>
  <c r="H12" i="5"/>
  <c r="H13" i="5" s="1"/>
  <c r="H19" i="9" s="1"/>
  <c r="H22" i="7" s="1"/>
  <c r="C16" i="11"/>
  <c r="D21" i="9"/>
  <c r="D22" i="9" s="1"/>
  <c r="C15" i="11"/>
  <c r="S12" i="5"/>
  <c r="S13" i="5" s="1"/>
  <c r="S14" i="5" s="1"/>
  <c r="D10" i="12"/>
  <c r="D23" i="6"/>
  <c r="R12" i="5"/>
  <c r="R13" i="5" s="1"/>
  <c r="U12" i="5"/>
  <c r="U13" i="5" s="1"/>
  <c r="O38" i="5"/>
  <c r="G38" i="5"/>
  <c r="R38" i="5"/>
  <c r="I38" i="5"/>
  <c r="Q38" i="5"/>
  <c r="H38" i="5"/>
  <c r="P38" i="5"/>
  <c r="F38" i="5"/>
  <c r="S38" i="5"/>
  <c r="J38" i="5"/>
  <c r="L38" i="5"/>
  <c r="K38" i="5"/>
  <c r="E38" i="5"/>
  <c r="T38" i="5"/>
  <c r="D38" i="5"/>
  <c r="C38" i="5"/>
  <c r="N38" i="5"/>
  <c r="U38" i="5"/>
  <c r="M38" i="5"/>
  <c r="I12" i="5"/>
  <c r="I13" i="5" s="1"/>
  <c r="I21" i="9"/>
  <c r="I22" i="9" s="1"/>
  <c r="L21" i="9"/>
  <c r="Q21" i="9"/>
  <c r="Q22" i="9" s="1"/>
  <c r="U21" i="9"/>
  <c r="U22" i="9" s="1"/>
  <c r="E15" i="11"/>
  <c r="E11" i="11"/>
  <c r="E14" i="11" s="1"/>
  <c r="I10" i="4"/>
  <c r="O12" i="5"/>
  <c r="O13" i="5" s="1"/>
  <c r="S34" i="5"/>
  <c r="K34" i="5"/>
  <c r="C34" i="5"/>
  <c r="R34" i="5"/>
  <c r="J34" i="5"/>
  <c r="Q34" i="5"/>
  <c r="I34" i="5"/>
  <c r="T34" i="5"/>
  <c r="V34" i="5"/>
  <c r="G34" i="5"/>
  <c r="U34" i="5"/>
  <c r="F34" i="5"/>
  <c r="P34" i="5"/>
  <c r="E34" i="5"/>
  <c r="M34" i="5"/>
  <c r="D34" i="5"/>
  <c r="L34" i="5"/>
  <c r="O34" i="5"/>
  <c r="N34" i="5"/>
  <c r="H34" i="5"/>
  <c r="B28" i="10"/>
  <c r="C10" i="4"/>
  <c r="C9" i="3"/>
  <c r="D8" i="3"/>
  <c r="E21" i="9"/>
  <c r="E22" i="9" s="1"/>
  <c r="S48" i="5"/>
  <c r="K48" i="5"/>
  <c r="N48" i="5"/>
  <c r="E48" i="5"/>
  <c r="P48" i="5"/>
  <c r="F48" i="5"/>
  <c r="O48" i="5"/>
  <c r="D48" i="5"/>
  <c r="M48" i="5"/>
  <c r="Q48" i="5"/>
  <c r="G48" i="5"/>
  <c r="T48" i="5"/>
  <c r="R48" i="5"/>
  <c r="L48" i="5"/>
  <c r="H48" i="5"/>
  <c r="J48" i="5"/>
  <c r="I48" i="5"/>
  <c r="V48" i="5"/>
  <c r="U48" i="5"/>
  <c r="L12" i="5"/>
  <c r="L13" i="5" s="1"/>
  <c r="C14" i="12"/>
  <c r="E30" i="3"/>
  <c r="O40" i="5"/>
  <c r="G40" i="5"/>
  <c r="N40" i="5"/>
  <c r="E40" i="5"/>
  <c r="V40" i="5"/>
  <c r="M40" i="5"/>
  <c r="D40" i="5"/>
  <c r="U40" i="5"/>
  <c r="L40" i="5"/>
  <c r="P40" i="5"/>
  <c r="F40" i="5"/>
  <c r="I40" i="5"/>
  <c r="H40" i="5"/>
  <c r="T40" i="5"/>
  <c r="Q40" i="5"/>
  <c r="K40" i="5"/>
  <c r="S40" i="5"/>
  <c r="R40" i="5"/>
  <c r="J40" i="5"/>
  <c r="R28" i="9"/>
  <c r="J28" i="9"/>
  <c r="O28" i="9"/>
  <c r="G28" i="9"/>
  <c r="T28" i="9"/>
  <c r="L28" i="9"/>
  <c r="D28" i="9"/>
  <c r="M28" i="9"/>
  <c r="K28" i="9"/>
  <c r="P28" i="9"/>
  <c r="C28" i="9"/>
  <c r="N28" i="9"/>
  <c r="I28" i="9"/>
  <c r="H28" i="9"/>
  <c r="F28" i="9"/>
  <c r="S28" i="9"/>
  <c r="Q28" i="9"/>
  <c r="E28" i="9"/>
  <c r="V28" i="9"/>
  <c r="U28" i="9"/>
  <c r="V12" i="5"/>
  <c r="V13" i="5" s="1"/>
  <c r="G12" i="5"/>
  <c r="G13" i="5" s="1"/>
  <c r="U46" i="6"/>
  <c r="M46" i="6"/>
  <c r="E46" i="6"/>
  <c r="V46" i="6"/>
  <c r="N46" i="6"/>
  <c r="F46" i="6"/>
  <c r="S46" i="6"/>
  <c r="I46" i="6"/>
  <c r="O46" i="6"/>
  <c r="R46" i="6"/>
  <c r="D46" i="6"/>
  <c r="Q46" i="6"/>
  <c r="P46" i="6"/>
  <c r="T46" i="6"/>
  <c r="G46" i="6"/>
  <c r="L46" i="6"/>
  <c r="H46" i="6"/>
  <c r="K46" i="6"/>
  <c r="J46" i="6"/>
  <c r="C24" i="11"/>
  <c r="G24" i="11"/>
  <c r="D24" i="11"/>
  <c r="F24" i="11"/>
  <c r="E24" i="11"/>
  <c r="S19" i="5"/>
  <c r="S24" i="5" s="1"/>
  <c r="K19" i="5"/>
  <c r="K32" i="5" s="1"/>
  <c r="K33" i="5" s="1"/>
  <c r="R19" i="5"/>
  <c r="R24" i="5" s="1"/>
  <c r="J19" i="5"/>
  <c r="J20" i="5" s="1"/>
  <c r="Q19" i="5"/>
  <c r="Q22" i="5" s="1"/>
  <c r="I19" i="5"/>
  <c r="I24" i="5" s="1"/>
  <c r="T19" i="5"/>
  <c r="T24" i="5" s="1"/>
  <c r="F19" i="5"/>
  <c r="F24" i="5" s="1"/>
  <c r="P19" i="5"/>
  <c r="P20" i="5" s="1"/>
  <c r="E19" i="5"/>
  <c r="E22" i="5" s="1"/>
  <c r="O19" i="5"/>
  <c r="O24" i="5" s="1"/>
  <c r="D19" i="5"/>
  <c r="D32" i="5" s="1"/>
  <c r="D33" i="5" s="1"/>
  <c r="L19" i="5"/>
  <c r="L32" i="5" s="1"/>
  <c r="L33" i="5" s="1"/>
  <c r="V19" i="5"/>
  <c r="V22" i="5" s="1"/>
  <c r="H19" i="5"/>
  <c r="U19" i="5"/>
  <c r="U20" i="5" s="1"/>
  <c r="N19" i="5"/>
  <c r="N20" i="5" s="1"/>
  <c r="M19" i="5"/>
  <c r="M24" i="5" s="1"/>
  <c r="G19" i="5"/>
  <c r="G24" i="5" s="1"/>
  <c r="N12" i="5"/>
  <c r="N13" i="5" s="1"/>
  <c r="F12" i="5"/>
  <c r="F13" i="5" s="1"/>
  <c r="E12" i="5"/>
  <c r="E13" i="5" s="1"/>
  <c r="D6" i="4"/>
  <c r="T12" i="5"/>
  <c r="T13" i="5" s="1"/>
  <c r="E10" i="4" l="1"/>
  <c r="F10" i="4" s="1"/>
  <c r="J10" i="4" s="1"/>
  <c r="C39" i="5"/>
  <c r="C14" i="5"/>
  <c r="C41" i="5" s="1"/>
  <c r="C19" i="9"/>
  <c r="C22" i="7" s="1"/>
  <c r="C32" i="5"/>
  <c r="C33" i="5" s="1"/>
  <c r="C25" i="5"/>
  <c r="C24" i="5"/>
  <c r="D39" i="5"/>
  <c r="J14" i="5"/>
  <c r="J15" i="5" s="1"/>
  <c r="C17" i="11"/>
  <c r="C18" i="11" s="1"/>
  <c r="P39" i="5"/>
  <c r="P14" i="5"/>
  <c r="P17" i="5" s="1"/>
  <c r="E16" i="11"/>
  <c r="E17" i="11" s="1"/>
  <c r="E20" i="11" s="1"/>
  <c r="M14" i="5"/>
  <c r="M15" i="5" s="1"/>
  <c r="J39" i="5"/>
  <c r="Q32" i="5"/>
  <c r="Q33" i="5" s="1"/>
  <c r="D14" i="5"/>
  <c r="D31" i="5" s="1"/>
  <c r="D35" i="5" s="1"/>
  <c r="D36" i="5" s="1"/>
  <c r="K39" i="5"/>
  <c r="Q39" i="5"/>
  <c r="T32" i="5"/>
  <c r="T33" i="5" s="1"/>
  <c r="K19" i="9"/>
  <c r="K22" i="7" s="1"/>
  <c r="M39" i="5"/>
  <c r="Q19" i="9"/>
  <c r="Q22" i="7" s="1"/>
  <c r="E20" i="5"/>
  <c r="M20" i="5"/>
  <c r="P32" i="5"/>
  <c r="P33" i="5" s="1"/>
  <c r="N24" i="5"/>
  <c r="S19" i="9"/>
  <c r="S22" i="7" s="1"/>
  <c r="D16" i="11"/>
  <c r="R32" i="5"/>
  <c r="R33" i="5" s="1"/>
  <c r="P24" i="5"/>
  <c r="H14" i="5"/>
  <c r="H41" i="5" s="1"/>
  <c r="K22" i="5"/>
  <c r="T22" i="5"/>
  <c r="H39" i="5"/>
  <c r="F32" i="5"/>
  <c r="F33" i="5" s="1"/>
  <c r="F20" i="5"/>
  <c r="K24" i="5"/>
  <c r="E24" i="5"/>
  <c r="Q20" i="5"/>
  <c r="N32" i="5"/>
  <c r="N33" i="5" s="1"/>
  <c r="P22" i="5"/>
  <c r="U24" i="5"/>
  <c r="S39" i="5"/>
  <c r="B29" i="10"/>
  <c r="C11" i="4"/>
  <c r="C10" i="3"/>
  <c r="D9" i="3"/>
  <c r="E26" i="4"/>
  <c r="E24" i="4"/>
  <c r="E22" i="4"/>
  <c r="E20" i="4"/>
  <c r="E18" i="4"/>
  <c r="E16" i="4"/>
  <c r="E14" i="4"/>
  <c r="E12" i="4"/>
  <c r="E23" i="4"/>
  <c r="E19" i="4"/>
  <c r="E11" i="4"/>
  <c r="E27" i="4"/>
  <c r="E17" i="4"/>
  <c r="E13" i="4"/>
  <c r="E25" i="4"/>
  <c r="E21" i="4"/>
  <c r="E15" i="4"/>
  <c r="H21" i="5"/>
  <c r="H25" i="5"/>
  <c r="H23" i="5"/>
  <c r="T25" i="5"/>
  <c r="T23" i="5"/>
  <c r="T21" i="5"/>
  <c r="I32" i="5"/>
  <c r="I33" i="5" s="1"/>
  <c r="C22" i="5"/>
  <c r="D24" i="5"/>
  <c r="J22" i="5"/>
  <c r="U22" i="5"/>
  <c r="N22" i="5"/>
  <c r="O22" i="5"/>
  <c r="V21" i="5"/>
  <c r="V23" i="5"/>
  <c r="V25" i="5"/>
  <c r="I25" i="5"/>
  <c r="I23" i="5"/>
  <c r="I21" i="5"/>
  <c r="G19" i="9"/>
  <c r="G22" i="7" s="1"/>
  <c r="G39" i="5"/>
  <c r="G14" i="5"/>
  <c r="F19" i="9"/>
  <c r="F22" i="7" s="1"/>
  <c r="F39" i="5"/>
  <c r="F14" i="5"/>
  <c r="L25" i="5"/>
  <c r="L21" i="5"/>
  <c r="L23" i="5"/>
  <c r="Q25" i="5"/>
  <c r="Q23" i="5"/>
  <c r="Q21" i="5"/>
  <c r="V19" i="9"/>
  <c r="V22" i="7" s="1"/>
  <c r="V14" i="5"/>
  <c r="V39" i="5"/>
  <c r="J32" i="5"/>
  <c r="J33" i="5" s="1"/>
  <c r="D22" i="5"/>
  <c r="L22" i="5"/>
  <c r="Q16" i="5"/>
  <c r="Q31" i="5"/>
  <c r="Q41" i="5"/>
  <c r="Q17" i="5"/>
  <c r="Q15" i="5"/>
  <c r="Q24" i="5"/>
  <c r="D20" i="5"/>
  <c r="L24" i="5"/>
  <c r="I22" i="5"/>
  <c r="G23" i="5"/>
  <c r="G25" i="5"/>
  <c r="G21" i="5"/>
  <c r="O23" i="5"/>
  <c r="O21" i="5"/>
  <c r="O25" i="5"/>
  <c r="R25" i="5"/>
  <c r="R23" i="5"/>
  <c r="R21" i="5"/>
  <c r="G32" i="5"/>
  <c r="G33" i="5" s="1"/>
  <c r="V24" i="5"/>
  <c r="U19" i="9"/>
  <c r="U22" i="7" s="1"/>
  <c r="U14" i="5"/>
  <c r="U39" i="5"/>
  <c r="K41" i="5"/>
  <c r="K16" i="5"/>
  <c r="K17" i="5"/>
  <c r="K15" i="5"/>
  <c r="K31" i="5"/>
  <c r="K35" i="5" s="1"/>
  <c r="K36" i="5" s="1"/>
  <c r="E31" i="3"/>
  <c r="F30" i="3"/>
  <c r="C23" i="5"/>
  <c r="C21" i="5"/>
  <c r="E32" i="5"/>
  <c r="E33" i="5" s="1"/>
  <c r="U32" i="5"/>
  <c r="U33" i="5" s="1"/>
  <c r="L19" i="9"/>
  <c r="L22" i="7" s="1"/>
  <c r="L14" i="5"/>
  <c r="L39" i="5"/>
  <c r="L20" i="5"/>
  <c r="H20" i="5"/>
  <c r="T20" i="5"/>
  <c r="H24" i="5"/>
  <c r="G20" i="5"/>
  <c r="L22" i="9"/>
  <c r="R19" i="9"/>
  <c r="R22" i="7" s="1"/>
  <c r="R14" i="5"/>
  <c r="R39" i="5"/>
  <c r="I20" i="5"/>
  <c r="M25" i="5"/>
  <c r="M23" i="5"/>
  <c r="M21" i="5"/>
  <c r="N25" i="5"/>
  <c r="N23" i="5"/>
  <c r="N21" i="5"/>
  <c r="K25" i="5"/>
  <c r="K23" i="5"/>
  <c r="K21" i="5"/>
  <c r="M32" i="5"/>
  <c r="M33" i="5" s="1"/>
  <c r="H32" i="5"/>
  <c r="H33" i="5" s="1"/>
  <c r="S32" i="5"/>
  <c r="S33" i="5" s="1"/>
  <c r="R20" i="5"/>
  <c r="R22" i="5"/>
  <c r="H22" i="5"/>
  <c r="V20" i="5"/>
  <c r="O20" i="5"/>
  <c r="E19" i="9"/>
  <c r="E22" i="7" s="1"/>
  <c r="E39" i="5"/>
  <c r="E14" i="5"/>
  <c r="N19" i="9"/>
  <c r="N22" i="7" s="1"/>
  <c r="N39" i="5"/>
  <c r="N14" i="5"/>
  <c r="D23" i="5"/>
  <c r="D21" i="5"/>
  <c r="D25" i="5"/>
  <c r="J25" i="5"/>
  <c r="J23" i="5"/>
  <c r="J21" i="5"/>
  <c r="E21" i="5"/>
  <c r="E25" i="5"/>
  <c r="E23" i="5"/>
  <c r="P21" i="5"/>
  <c r="P25" i="5"/>
  <c r="P23" i="5"/>
  <c r="T19" i="9"/>
  <c r="T22" i="7" s="1"/>
  <c r="T14" i="5"/>
  <c r="T39" i="5"/>
  <c r="U23" i="5"/>
  <c r="U21" i="5"/>
  <c r="U25" i="5"/>
  <c r="F25" i="5"/>
  <c r="F23" i="5"/>
  <c r="F21" i="5"/>
  <c r="S25" i="5"/>
  <c r="S23" i="5"/>
  <c r="S21" i="5"/>
  <c r="O32" i="5"/>
  <c r="O33" i="5" s="1"/>
  <c r="V32" i="5"/>
  <c r="V33" i="5" s="1"/>
  <c r="J24" i="5"/>
  <c r="S20" i="5"/>
  <c r="S22" i="5"/>
  <c r="K20" i="5"/>
  <c r="M22" i="5"/>
  <c r="F22" i="5"/>
  <c r="G22" i="5"/>
  <c r="O19" i="9"/>
  <c r="O22" i="7" s="1"/>
  <c r="O39" i="5"/>
  <c r="O14" i="5"/>
  <c r="S41" i="5"/>
  <c r="S16" i="5"/>
  <c r="S15" i="5"/>
  <c r="S17" i="5"/>
  <c r="S31" i="5"/>
  <c r="V22" i="9"/>
  <c r="I19" i="9"/>
  <c r="I22" i="7" s="1"/>
  <c r="I14" i="5"/>
  <c r="I39" i="5"/>
  <c r="K10" i="4" l="1"/>
  <c r="C15" i="5"/>
  <c r="C26" i="5" s="1"/>
  <c r="C17" i="5"/>
  <c r="C28" i="5" s="1"/>
  <c r="C31" i="5"/>
  <c r="C35" i="5" s="1"/>
  <c r="C36" i="5" s="1"/>
  <c r="C8" i="8" s="1"/>
  <c r="C16" i="5"/>
  <c r="C27" i="5" s="1"/>
  <c r="C23" i="9"/>
  <c r="D20" i="9" s="1"/>
  <c r="D23" i="9" s="1"/>
  <c r="D41" i="5"/>
  <c r="D42" i="5" s="1"/>
  <c r="D9" i="8" s="1"/>
  <c r="D17" i="5"/>
  <c r="D28" i="5" s="1"/>
  <c r="J31" i="5"/>
  <c r="J35" i="5" s="1"/>
  <c r="J36" i="5" s="1"/>
  <c r="J10" i="8" s="1"/>
  <c r="J17" i="5"/>
  <c r="J28" i="5" s="1"/>
  <c r="H16" i="5"/>
  <c r="H27" i="5" s="1"/>
  <c r="H15" i="5"/>
  <c r="H26" i="5" s="1"/>
  <c r="H31" i="5"/>
  <c r="H35" i="5" s="1"/>
  <c r="H36" i="5" s="1"/>
  <c r="H10" i="8" s="1"/>
  <c r="J41" i="5"/>
  <c r="J16" i="5"/>
  <c r="J27" i="5" s="1"/>
  <c r="D15" i="5"/>
  <c r="D26" i="5" s="1"/>
  <c r="D16" i="5"/>
  <c r="D27" i="5" s="1"/>
  <c r="H17" i="5"/>
  <c r="H28" i="5" s="1"/>
  <c r="P31" i="5"/>
  <c r="P35" i="5" s="1"/>
  <c r="P36" i="5" s="1"/>
  <c r="P8" i="8" s="1"/>
  <c r="P15" i="5"/>
  <c r="P26" i="5" s="1"/>
  <c r="P16" i="5"/>
  <c r="P27" i="5" s="1"/>
  <c r="C20" i="11"/>
  <c r="M31" i="5"/>
  <c r="M35" i="5" s="1"/>
  <c r="M36" i="5" s="1"/>
  <c r="M10" i="8" s="1"/>
  <c r="M17" i="5"/>
  <c r="M28" i="5" s="1"/>
  <c r="M41" i="5"/>
  <c r="P41" i="5"/>
  <c r="Q35" i="5"/>
  <c r="Q36" i="5" s="1"/>
  <c r="Q10" i="8" s="1"/>
  <c r="M16" i="5"/>
  <c r="M27" i="5" s="1"/>
  <c r="M26" i="5"/>
  <c r="D17" i="11"/>
  <c r="Q28" i="5"/>
  <c r="J26" i="5"/>
  <c r="Q26" i="5"/>
  <c r="S26" i="5"/>
  <c r="R16" i="5"/>
  <c r="R27" i="5" s="1"/>
  <c r="R41" i="5"/>
  <c r="R17" i="5"/>
  <c r="R28" i="5" s="1"/>
  <c r="R15" i="5"/>
  <c r="R26" i="5" s="1"/>
  <c r="R31" i="5"/>
  <c r="R35" i="5" s="1"/>
  <c r="R36" i="5" s="1"/>
  <c r="L41" i="5"/>
  <c r="L17" i="5"/>
  <c r="L28" i="5" s="1"/>
  <c r="L15" i="5"/>
  <c r="L26" i="5" s="1"/>
  <c r="L31" i="5"/>
  <c r="L35" i="5" s="1"/>
  <c r="L36" i="5" s="1"/>
  <c r="L16" i="5"/>
  <c r="L27" i="5" s="1"/>
  <c r="S27" i="5"/>
  <c r="F31" i="3"/>
  <c r="E32" i="3"/>
  <c r="U41" i="5"/>
  <c r="U31" i="5"/>
  <c r="U35" i="5" s="1"/>
  <c r="U36" i="5" s="1"/>
  <c r="U17" i="5"/>
  <c r="U28" i="5" s="1"/>
  <c r="U15" i="5"/>
  <c r="U26" i="5" s="1"/>
  <c r="U16" i="5"/>
  <c r="U27" i="5" s="1"/>
  <c r="F25" i="4"/>
  <c r="K25" i="4"/>
  <c r="K23" i="4"/>
  <c r="F23" i="4"/>
  <c r="K12" i="4"/>
  <c r="F12" i="4"/>
  <c r="P28" i="5"/>
  <c r="E29" i="4"/>
  <c r="D33" i="4" s="1"/>
  <c r="H11" i="4"/>
  <c r="K11" i="4"/>
  <c r="F11" i="4"/>
  <c r="K18" i="4"/>
  <c r="F18" i="4"/>
  <c r="G31" i="5"/>
  <c r="G35" i="5" s="1"/>
  <c r="G36" i="5" s="1"/>
  <c r="G17" i="5"/>
  <c r="G28" i="5" s="1"/>
  <c r="G15" i="5"/>
  <c r="G26" i="5" s="1"/>
  <c r="G41" i="5"/>
  <c r="G16" i="5"/>
  <c r="G27" i="5" s="1"/>
  <c r="K28" i="5"/>
  <c r="S35" i="5"/>
  <c r="S36" i="5" s="1"/>
  <c r="E31" i="5"/>
  <c r="E35" i="5" s="1"/>
  <c r="E36" i="5" s="1"/>
  <c r="E17" i="5"/>
  <c r="E28" i="5" s="1"/>
  <c r="E15" i="5"/>
  <c r="E26" i="5" s="1"/>
  <c r="E41" i="5"/>
  <c r="E16" i="5"/>
  <c r="E27" i="5" s="1"/>
  <c r="K27" i="5"/>
  <c r="K20" i="4"/>
  <c r="F20" i="4"/>
  <c r="I16" i="5"/>
  <c r="I27" i="5" s="1"/>
  <c r="I31" i="5"/>
  <c r="I35" i="5" s="1"/>
  <c r="I36" i="5" s="1"/>
  <c r="I15" i="5"/>
  <c r="I26" i="5" s="1"/>
  <c r="I41" i="5"/>
  <c r="I17" i="5"/>
  <c r="I28" i="5" s="1"/>
  <c r="O31" i="5"/>
  <c r="O35" i="5" s="1"/>
  <c r="O36" i="5" s="1"/>
  <c r="O17" i="5"/>
  <c r="O28" i="5" s="1"/>
  <c r="O15" i="5"/>
  <c r="O26" i="5" s="1"/>
  <c r="O41" i="5"/>
  <c r="O16" i="5"/>
  <c r="O27" i="5" s="1"/>
  <c r="N31" i="5"/>
  <c r="N35" i="5" s="1"/>
  <c r="N36" i="5" s="1"/>
  <c r="N17" i="5"/>
  <c r="N28" i="5" s="1"/>
  <c r="N15" i="5"/>
  <c r="N26" i="5" s="1"/>
  <c r="N41" i="5"/>
  <c r="N16" i="5"/>
  <c r="N27" i="5" s="1"/>
  <c r="K10" i="8"/>
  <c r="K8" i="8"/>
  <c r="K42" i="5"/>
  <c r="K9" i="8" s="1"/>
  <c r="K14" i="4"/>
  <c r="F14" i="4"/>
  <c r="K26" i="5"/>
  <c r="K16" i="4"/>
  <c r="F16" i="4"/>
  <c r="T41" i="5"/>
  <c r="T16" i="5"/>
  <c r="T27" i="5" s="1"/>
  <c r="T31" i="5"/>
  <c r="T35" i="5" s="1"/>
  <c r="T36" i="5" s="1"/>
  <c r="T17" i="5"/>
  <c r="T28" i="5" s="1"/>
  <c r="T15" i="5"/>
  <c r="T26" i="5" s="1"/>
  <c r="S28" i="5"/>
  <c r="Q27" i="5"/>
  <c r="V41" i="5"/>
  <c r="V31" i="5"/>
  <c r="V35" i="5" s="1"/>
  <c r="V36" i="5" s="1"/>
  <c r="V17" i="5"/>
  <c r="V28" i="5" s="1"/>
  <c r="V15" i="5"/>
  <c r="V26" i="5" s="1"/>
  <c r="V16" i="5"/>
  <c r="V27" i="5" s="1"/>
  <c r="F13" i="4"/>
  <c r="K13" i="4"/>
  <c r="K19" i="4"/>
  <c r="F19" i="4"/>
  <c r="F22" i="4"/>
  <c r="K22" i="4"/>
  <c r="B30" i="10"/>
  <c r="D10" i="3"/>
  <c r="C12" i="4"/>
  <c r="C11" i="3"/>
  <c r="E18" i="11"/>
  <c r="F31" i="5"/>
  <c r="F35" i="5" s="1"/>
  <c r="F36" i="5" s="1"/>
  <c r="F17" i="5"/>
  <c r="F28" i="5" s="1"/>
  <c r="F15" i="5"/>
  <c r="F26" i="5" s="1"/>
  <c r="F41" i="5"/>
  <c r="F16" i="5"/>
  <c r="F27" i="5" s="1"/>
  <c r="K15" i="4"/>
  <c r="F15" i="4"/>
  <c r="K17" i="4"/>
  <c r="F17" i="4"/>
  <c r="K24" i="4"/>
  <c r="F24" i="4"/>
  <c r="B47" i="10"/>
  <c r="H30" i="3"/>
  <c r="D8" i="8"/>
  <c r="D10" i="8"/>
  <c r="K21" i="4"/>
  <c r="F21" i="4"/>
  <c r="F27" i="4"/>
  <c r="K27" i="4"/>
  <c r="F26" i="4"/>
  <c r="K26" i="4"/>
  <c r="V42" i="5" l="1"/>
  <c r="V9" i="8" s="1"/>
  <c r="V29" i="5"/>
  <c r="I29" i="5"/>
  <c r="C10" i="8"/>
  <c r="C42" i="5"/>
  <c r="C9" i="8" s="1"/>
  <c r="C24" i="9"/>
  <c r="G10" i="4"/>
  <c r="D28" i="10" s="1"/>
  <c r="J42" i="5"/>
  <c r="J9" i="8" s="1"/>
  <c r="G19" i="4"/>
  <c r="D37" i="10" s="1"/>
  <c r="J8" i="8"/>
  <c r="G13" i="4"/>
  <c r="D31" i="10" s="1"/>
  <c r="Q42" i="5"/>
  <c r="Q9" i="8" s="1"/>
  <c r="Q8" i="8"/>
  <c r="P42" i="5"/>
  <c r="P9" i="8" s="1"/>
  <c r="P10" i="8"/>
  <c r="G25" i="11"/>
  <c r="G18" i="4"/>
  <c r="D36" i="10" s="1"/>
  <c r="M42" i="5"/>
  <c r="M9" i="8" s="1"/>
  <c r="M8" i="8"/>
  <c r="C29" i="5"/>
  <c r="C7" i="8" s="1"/>
  <c r="G17" i="4"/>
  <c r="D35" i="10" s="1"/>
  <c r="J29" i="5"/>
  <c r="G15" i="4"/>
  <c r="D33" i="10" s="1"/>
  <c r="M29" i="5"/>
  <c r="D25" i="11"/>
  <c r="G14" i="4"/>
  <c r="D32" i="10" s="1"/>
  <c r="G24" i="4"/>
  <c r="D42" i="10" s="1"/>
  <c r="H42" i="5"/>
  <c r="H9" i="8" s="1"/>
  <c r="G11" i="4"/>
  <c r="D29" i="10" s="1"/>
  <c r="G26" i="4"/>
  <c r="D44" i="10" s="1"/>
  <c r="H8" i="8"/>
  <c r="P29" i="5"/>
  <c r="P7" i="8" s="1"/>
  <c r="D18" i="11"/>
  <c r="D20" i="11"/>
  <c r="G22" i="4"/>
  <c r="D40" i="10" s="1"/>
  <c r="K29" i="5"/>
  <c r="K44" i="5" s="1"/>
  <c r="O29" i="5"/>
  <c r="O7" i="8" s="1"/>
  <c r="G20" i="4"/>
  <c r="D38" i="10" s="1"/>
  <c r="G12" i="4"/>
  <c r="D30" i="10" s="1"/>
  <c r="G21" i="4"/>
  <c r="D39" i="10" s="1"/>
  <c r="G16" i="4"/>
  <c r="D34" i="10" s="1"/>
  <c r="G25" i="4"/>
  <c r="D43" i="10" s="1"/>
  <c r="G27" i="4"/>
  <c r="D45" i="10" s="1"/>
  <c r="U29" i="5"/>
  <c r="U7" i="8" s="1"/>
  <c r="Q29" i="5"/>
  <c r="N29" i="5"/>
  <c r="N7" i="8" s="1"/>
  <c r="E25" i="11"/>
  <c r="H29" i="5"/>
  <c r="H7" i="8" s="1"/>
  <c r="F25" i="11"/>
  <c r="G23" i="4"/>
  <c r="D41" i="10" s="1"/>
  <c r="F29" i="5"/>
  <c r="T10" i="8"/>
  <c r="T42" i="5"/>
  <c r="T9" i="8" s="1"/>
  <c r="T8" i="8"/>
  <c r="F29" i="4"/>
  <c r="D24" i="9"/>
  <c r="E20" i="9"/>
  <c r="E23" i="9" s="1"/>
  <c r="F8" i="8"/>
  <c r="F10" i="8"/>
  <c r="F42" i="5"/>
  <c r="F9" i="8" s="1"/>
  <c r="O8" i="8"/>
  <c r="O42" i="5"/>
  <c r="O9" i="8" s="1"/>
  <c r="O10" i="8"/>
  <c r="E29" i="5"/>
  <c r="D53" i="4"/>
  <c r="R10" i="8"/>
  <c r="R8" i="8"/>
  <c r="R42" i="5"/>
  <c r="R9" i="8" s="1"/>
  <c r="R29" i="5"/>
  <c r="E10" i="8"/>
  <c r="E8" i="8"/>
  <c r="E42" i="5"/>
  <c r="E9" i="8" s="1"/>
  <c r="U10" i="8"/>
  <c r="U8" i="8"/>
  <c r="U42" i="5"/>
  <c r="U9" i="8" s="1"/>
  <c r="N8" i="8"/>
  <c r="N10" i="8"/>
  <c r="N42" i="5"/>
  <c r="N9" i="8" s="1"/>
  <c r="S8" i="8"/>
  <c r="S10" i="8"/>
  <c r="S42" i="5"/>
  <c r="S9" i="8" s="1"/>
  <c r="G29" i="5"/>
  <c r="B31" i="10"/>
  <c r="D11" i="3"/>
  <c r="C13" i="4"/>
  <c r="C12" i="3"/>
  <c r="I8" i="8"/>
  <c r="I10" i="8"/>
  <c r="I42" i="5"/>
  <c r="I9" i="8" s="1"/>
  <c r="E33" i="3"/>
  <c r="F32" i="3"/>
  <c r="L10" i="8"/>
  <c r="L8" i="8"/>
  <c r="L42" i="5"/>
  <c r="L9" i="8" s="1"/>
  <c r="V8" i="8"/>
  <c r="V10" i="8"/>
  <c r="T29" i="5"/>
  <c r="G42" i="5"/>
  <c r="G9" i="8" s="1"/>
  <c r="G10" i="8"/>
  <c r="G8" i="8"/>
  <c r="K29" i="4"/>
  <c r="N10" i="4"/>
  <c r="L11" i="4" s="1"/>
  <c r="B48" i="10"/>
  <c r="H31" i="3"/>
  <c r="L29" i="5"/>
  <c r="S29" i="5"/>
  <c r="D29" i="5"/>
  <c r="C25" i="11"/>
  <c r="I44" i="5" l="1"/>
  <c r="C11" i="8"/>
  <c r="C12" i="8" s="1"/>
  <c r="C16" i="8" s="1"/>
  <c r="J44" i="5"/>
  <c r="J43" i="6" s="1"/>
  <c r="C44" i="5"/>
  <c r="Q44" i="5"/>
  <c r="Q43" i="6" s="1"/>
  <c r="K7" i="8"/>
  <c r="K11" i="8" s="1"/>
  <c r="P11" i="8"/>
  <c r="J7" i="8"/>
  <c r="J11" i="8" s="1"/>
  <c r="H11" i="8"/>
  <c r="M44" i="5"/>
  <c r="M43" i="6" s="1"/>
  <c r="M7" i="8"/>
  <c r="M11" i="8" s="1"/>
  <c r="Q7" i="8"/>
  <c r="Q11" i="8" s="1"/>
  <c r="H44" i="5"/>
  <c r="H43" i="6" s="1"/>
  <c r="P44" i="5"/>
  <c r="P43" i="6" s="1"/>
  <c r="G29" i="4"/>
  <c r="D41" i="4" s="1"/>
  <c r="O44" i="5"/>
  <c r="O43" i="6" s="1"/>
  <c r="R7" i="8"/>
  <c r="R11" i="8" s="1"/>
  <c r="R44" i="5"/>
  <c r="T7" i="8"/>
  <c r="T11" i="8" s="1"/>
  <c r="T44" i="5"/>
  <c r="E34" i="3"/>
  <c r="F33" i="3"/>
  <c r="M11" i="4"/>
  <c r="D45" i="4"/>
  <c r="D35" i="4" s="1"/>
  <c r="O11" i="8"/>
  <c r="U44" i="5"/>
  <c r="G7" i="8"/>
  <c r="G11" i="8" s="1"/>
  <c r="G44" i="5"/>
  <c r="V7" i="8"/>
  <c r="V11" i="8" s="1"/>
  <c r="V44" i="5"/>
  <c r="U11" i="8"/>
  <c r="N44" i="5"/>
  <c r="C23" i="7"/>
  <c r="D57" i="4"/>
  <c r="D73" i="10" s="1"/>
  <c r="D7" i="8"/>
  <c r="D11" i="8" s="1"/>
  <c r="D44" i="5"/>
  <c r="F7" i="8"/>
  <c r="F11" i="8" s="1"/>
  <c r="F44" i="5"/>
  <c r="S44" i="5"/>
  <c r="S7" i="8"/>
  <c r="S11" i="8" s="1"/>
  <c r="N11" i="8"/>
  <c r="E7" i="8"/>
  <c r="E11" i="8" s="1"/>
  <c r="E44" i="5"/>
  <c r="L7" i="8"/>
  <c r="L11" i="8" s="1"/>
  <c r="L44" i="5"/>
  <c r="B32" i="10"/>
  <c r="C13" i="3"/>
  <c r="D12" i="3"/>
  <c r="C14" i="4"/>
  <c r="I7" i="8"/>
  <c r="I11" i="8" s="1"/>
  <c r="E24" i="9"/>
  <c r="F20" i="9"/>
  <c r="F23" i="9" s="1"/>
  <c r="K43" i="6"/>
  <c r="B49" i="10"/>
  <c r="H32" i="3"/>
  <c r="C15" i="8" l="1"/>
  <c r="C19" i="8" s="1"/>
  <c r="C24" i="7" s="1"/>
  <c r="D12" i="8"/>
  <c r="C43" i="6"/>
  <c r="K12" i="8"/>
  <c r="L12" i="8"/>
  <c r="P12" i="8"/>
  <c r="Q12" i="8"/>
  <c r="I12" i="8"/>
  <c r="N12" i="8"/>
  <c r="R12" i="8"/>
  <c r="S12" i="8"/>
  <c r="U12" i="8"/>
  <c r="E12" i="8"/>
  <c r="G12" i="8"/>
  <c r="V12" i="8"/>
  <c r="S43" i="6"/>
  <c r="B50" i="10"/>
  <c r="H33" i="3"/>
  <c r="J12" i="8"/>
  <c r="L43" i="6"/>
  <c r="O12" i="8"/>
  <c r="F43" i="6"/>
  <c r="E35" i="3"/>
  <c r="F34" i="3"/>
  <c r="F12" i="8"/>
  <c r="C33" i="12"/>
  <c r="U43" i="6"/>
  <c r="T43" i="6"/>
  <c r="B33" i="10"/>
  <c r="D13" i="3"/>
  <c r="C14" i="3"/>
  <c r="C15" i="4"/>
  <c r="D43" i="6"/>
  <c r="N43" i="6"/>
  <c r="H12" i="8"/>
  <c r="T12" i="8"/>
  <c r="E43" i="6"/>
  <c r="M12" i="8"/>
  <c r="G20" i="9"/>
  <c r="G23" i="9" s="1"/>
  <c r="F24" i="9"/>
  <c r="R43" i="6"/>
  <c r="I43" i="6"/>
  <c r="G43" i="6"/>
  <c r="V43" i="6"/>
  <c r="N11" i="4"/>
  <c r="L12" i="4" s="1"/>
  <c r="C17" i="8" l="1"/>
  <c r="B34" i="10"/>
  <c r="C16" i="4"/>
  <c r="D14" i="3"/>
  <c r="C15" i="3"/>
  <c r="M12" i="4"/>
  <c r="N12" i="4" s="1"/>
  <c r="L13" i="4" s="1"/>
  <c r="G24" i="9"/>
  <c r="H20" i="9"/>
  <c r="H23" i="9" s="1"/>
  <c r="B51" i="10"/>
  <c r="H34" i="3"/>
  <c r="F35" i="3"/>
  <c r="E36" i="3"/>
  <c r="D14" i="8" l="1"/>
  <c r="D16" i="8" s="1"/>
  <c r="I20" i="9"/>
  <c r="I23" i="9" s="1"/>
  <c r="H24" i="9"/>
  <c r="B35" i="10"/>
  <c r="C17" i="4"/>
  <c r="C16" i="3"/>
  <c r="D15" i="3"/>
  <c r="M13" i="4"/>
  <c r="N13" i="4" s="1"/>
  <c r="L14" i="4" s="1"/>
  <c r="E37" i="3"/>
  <c r="F36" i="3"/>
  <c r="B52" i="10"/>
  <c r="H35" i="3"/>
  <c r="D15" i="8" l="1"/>
  <c r="D19" i="8" s="1"/>
  <c r="D24" i="7" s="1"/>
  <c r="D18" i="8"/>
  <c r="D25" i="7" s="1"/>
  <c r="D17" i="8"/>
  <c r="M14" i="4"/>
  <c r="N14" i="4" s="1"/>
  <c r="L15" i="4" s="1"/>
  <c r="B36" i="10"/>
  <c r="C17" i="3"/>
  <c r="D16" i="3"/>
  <c r="C18" i="4"/>
  <c r="J20" i="9"/>
  <c r="J23" i="9" s="1"/>
  <c r="I24" i="9"/>
  <c r="B53" i="10"/>
  <c r="H36" i="3"/>
  <c r="E38" i="3"/>
  <c r="F37" i="3"/>
  <c r="E14" i="8" l="1"/>
  <c r="E18" i="8" s="1"/>
  <c r="E25" i="7" s="1"/>
  <c r="B54" i="10"/>
  <c r="H37" i="3"/>
  <c r="E39" i="3"/>
  <c r="F38" i="3"/>
  <c r="B37" i="10"/>
  <c r="C18" i="3"/>
  <c r="C19" i="4"/>
  <c r="D17" i="3"/>
  <c r="J24" i="9"/>
  <c r="K20" i="9"/>
  <c r="K23" i="9" s="1"/>
  <c r="M15" i="4"/>
  <c r="N15" i="4" s="1"/>
  <c r="L16" i="4" s="1"/>
  <c r="E16" i="8" l="1"/>
  <c r="E15" i="8"/>
  <c r="M16" i="4"/>
  <c r="N16" i="4" s="1"/>
  <c r="L17" i="4" s="1"/>
  <c r="B38" i="10"/>
  <c r="C20" i="4"/>
  <c r="D18" i="3"/>
  <c r="C19" i="3"/>
  <c r="F39" i="3"/>
  <c r="E40" i="3"/>
  <c r="L20" i="9"/>
  <c r="L23" i="9" s="1"/>
  <c r="K24" i="9"/>
  <c r="B55" i="10"/>
  <c r="H38" i="3"/>
  <c r="E19" i="8"/>
  <c r="E24" i="7" s="1"/>
  <c r="E17" i="8"/>
  <c r="B39" i="10" l="1"/>
  <c r="D19" i="3"/>
  <c r="C21" i="4"/>
  <c r="C20" i="3"/>
  <c r="F14" i="8"/>
  <c r="L24" i="9"/>
  <c r="M20" i="9"/>
  <c r="M23" i="9" s="1"/>
  <c r="M17" i="4"/>
  <c r="N17" i="4" s="1"/>
  <c r="L18" i="4" s="1"/>
  <c r="E41" i="3"/>
  <c r="F40" i="3"/>
  <c r="B56" i="10"/>
  <c r="H39" i="3"/>
  <c r="M24" i="9" l="1"/>
  <c r="N20" i="9"/>
  <c r="N23" i="9" s="1"/>
  <c r="F18" i="8"/>
  <c r="F25" i="7" s="1"/>
  <c r="F15" i="8"/>
  <c r="F16" i="8"/>
  <c r="B57" i="10"/>
  <c r="H40" i="3"/>
  <c r="B40" i="10"/>
  <c r="C21" i="3"/>
  <c r="D20" i="3"/>
  <c r="C22" i="4"/>
  <c r="E42" i="3"/>
  <c r="F41" i="3"/>
  <c r="M18" i="4"/>
  <c r="N18" i="4" s="1"/>
  <c r="L19" i="4" s="1"/>
  <c r="B58" i="10" l="1"/>
  <c r="H41" i="3"/>
  <c r="E43" i="3"/>
  <c r="F42" i="3"/>
  <c r="F19" i="8"/>
  <c r="F24" i="7" s="1"/>
  <c r="F17" i="8"/>
  <c r="O20" i="9"/>
  <c r="O23" i="9" s="1"/>
  <c r="N24" i="9"/>
  <c r="M19" i="4"/>
  <c r="N19" i="4" s="1"/>
  <c r="L20" i="4" s="1"/>
  <c r="B41" i="10"/>
  <c r="D21" i="3"/>
  <c r="C22" i="3"/>
  <c r="C23" i="4"/>
  <c r="M20" i="4" l="1"/>
  <c r="N20" i="4" s="1"/>
  <c r="L21" i="4" s="1"/>
  <c r="B42" i="10"/>
  <c r="D22" i="3"/>
  <c r="C24" i="4"/>
  <c r="C23" i="3"/>
  <c r="B59" i="10"/>
  <c r="H42" i="3"/>
  <c r="O24" i="9"/>
  <c r="P20" i="9"/>
  <c r="P23" i="9" s="1"/>
  <c r="G14" i="8"/>
  <c r="F43" i="3"/>
  <c r="E44" i="3"/>
  <c r="B43" i="10" l="1"/>
  <c r="C24" i="3"/>
  <c r="D23" i="3"/>
  <c r="C25" i="4"/>
  <c r="B60" i="10"/>
  <c r="H43" i="3"/>
  <c r="G18" i="8"/>
  <c r="G25" i="7" s="1"/>
  <c r="G15" i="8"/>
  <c r="G16" i="8"/>
  <c r="M21" i="4"/>
  <c r="N21" i="4" s="1"/>
  <c r="L22" i="4" s="1"/>
  <c r="E45" i="3"/>
  <c r="F44" i="3"/>
  <c r="Q20" i="9"/>
  <c r="Q23" i="9" s="1"/>
  <c r="P24" i="9"/>
  <c r="G17" i="8" l="1"/>
  <c r="H14" i="8" s="1"/>
  <c r="M22" i="4"/>
  <c r="N22" i="4" s="1"/>
  <c r="L23" i="4" s="1"/>
  <c r="B61" i="10"/>
  <c r="H44" i="3"/>
  <c r="B44" i="10"/>
  <c r="C26" i="4"/>
  <c r="C25" i="3"/>
  <c r="D24" i="3"/>
  <c r="R20" i="9"/>
  <c r="R23" i="9" s="1"/>
  <c r="Q24" i="9"/>
  <c r="E46" i="3"/>
  <c r="F45" i="3"/>
  <c r="G19" i="8"/>
  <c r="G24" i="7" s="1"/>
  <c r="B62" i="10" l="1"/>
  <c r="H45" i="3"/>
  <c r="H18" i="8"/>
  <c r="H25" i="7" s="1"/>
  <c r="H15" i="8"/>
  <c r="H16" i="8"/>
  <c r="M23" i="4"/>
  <c r="N23" i="4" s="1"/>
  <c r="L24" i="4" s="1"/>
  <c r="E47" i="3"/>
  <c r="F46" i="3"/>
  <c r="R24" i="9"/>
  <c r="S20" i="9"/>
  <c r="S23" i="9" s="1"/>
  <c r="B45" i="10"/>
  <c r="B46" i="10" s="1"/>
  <c r="D25" i="3"/>
  <c r="C27" i="4"/>
  <c r="M24" i="4" l="1"/>
  <c r="N24" i="4" s="1"/>
  <c r="L25" i="4" s="1"/>
  <c r="T20" i="9"/>
  <c r="T23" i="9" s="1"/>
  <c r="S24" i="9"/>
  <c r="B63" i="10"/>
  <c r="H46" i="3"/>
  <c r="F47" i="3"/>
  <c r="E48" i="3"/>
  <c r="H19" i="8"/>
  <c r="H24" i="7" s="1"/>
  <c r="H17" i="8"/>
  <c r="I14" i="8" s="1"/>
  <c r="B64" i="10" l="1"/>
  <c r="H47" i="3"/>
  <c r="I18" i="8"/>
  <c r="I25" i="7" s="1"/>
  <c r="I15" i="8"/>
  <c r="I16" i="8"/>
  <c r="E49" i="3"/>
  <c r="F49" i="3" s="1"/>
  <c r="F48" i="3"/>
  <c r="T24" i="9"/>
  <c r="U20" i="9"/>
  <c r="U23" i="9" s="1"/>
  <c r="M25" i="4"/>
  <c r="N25" i="4" s="1"/>
  <c r="L26" i="4" s="1"/>
  <c r="M26" i="4" l="1"/>
  <c r="N26" i="4" s="1"/>
  <c r="L27" i="4" s="1"/>
  <c r="B65" i="10"/>
  <c r="H48" i="3"/>
  <c r="B66" i="10"/>
  <c r="H49" i="3"/>
  <c r="I19" i="8"/>
  <c r="I24" i="7" s="1"/>
  <c r="I17" i="8"/>
  <c r="J14" i="8" s="1"/>
  <c r="V20" i="9"/>
  <c r="V23" i="9" s="1"/>
  <c r="V24" i="9" s="1"/>
  <c r="U24" i="9"/>
  <c r="J18" i="8" l="1"/>
  <c r="J25" i="7" s="1"/>
  <c r="J15" i="8"/>
  <c r="J16" i="8"/>
  <c r="M27" i="4"/>
  <c r="M29" i="4" s="1"/>
  <c r="D52" i="4" l="1"/>
  <c r="J17" i="8"/>
  <c r="K14" i="8" s="1"/>
  <c r="K18" i="8" s="1"/>
  <c r="K25" i="7" s="1"/>
  <c r="N27" i="4"/>
  <c r="J19" i="8"/>
  <c r="J24" i="7" s="1"/>
  <c r="D56" i="4"/>
  <c r="K16" i="8" l="1"/>
  <c r="K15" i="8"/>
  <c r="D72" i="10"/>
  <c r="C35" i="6"/>
  <c r="C36" i="6" s="1"/>
  <c r="K19" i="8" l="1"/>
  <c r="K24" i="7" s="1"/>
  <c r="K17" i="8"/>
  <c r="L14" i="8" s="1"/>
  <c r="L18" i="8" s="1"/>
  <c r="L25" i="7" s="1"/>
  <c r="L16" i="8" l="1"/>
  <c r="L15" i="8"/>
  <c r="L17" i="8" l="1"/>
  <c r="M14" i="8" s="1"/>
  <c r="M18" i="8" s="1"/>
  <c r="M25" i="7" s="1"/>
  <c r="L19" i="8"/>
  <c r="L24" i="7" s="1"/>
  <c r="M16" i="8" l="1"/>
  <c r="M15" i="8"/>
  <c r="M19" i="8" l="1"/>
  <c r="M24" i="7" s="1"/>
  <c r="M17" i="8"/>
  <c r="N14" i="8" s="1"/>
  <c r="N18" i="8" s="1"/>
  <c r="N25" i="7" s="1"/>
  <c r="N16" i="8" l="1"/>
  <c r="N15" i="8"/>
  <c r="N17" i="8" l="1"/>
  <c r="O14" i="8" s="1"/>
  <c r="O18" i="8" s="1"/>
  <c r="O25" i="7" s="1"/>
  <c r="N19" i="8"/>
  <c r="N24" i="7" s="1"/>
  <c r="O16" i="8" l="1"/>
  <c r="O15" i="8"/>
  <c r="O17" i="8" l="1"/>
  <c r="P14" i="8" s="1"/>
  <c r="P18" i="8" s="1"/>
  <c r="P25" i="7" s="1"/>
  <c r="O19" i="8"/>
  <c r="O24" i="7" s="1"/>
  <c r="P15" i="8" l="1"/>
  <c r="P16" i="8"/>
  <c r="P19" i="8" s="1"/>
  <c r="P24" i="7" s="1"/>
  <c r="P17" i="8" l="1"/>
  <c r="Q14" i="8" s="1"/>
  <c r="Q18" i="8" s="1"/>
  <c r="Q25" i="7" s="1"/>
  <c r="Q15" i="8"/>
  <c r="Q16" i="8"/>
  <c r="Q19" i="8" l="1"/>
  <c r="Q24" i="7" s="1"/>
  <c r="Q17" i="8"/>
  <c r="R14" i="8" s="1"/>
  <c r="R18" i="8" s="1"/>
  <c r="R25" i="7" s="1"/>
  <c r="R15" i="8" l="1"/>
  <c r="R16" i="8"/>
  <c r="R19" i="8" l="1"/>
  <c r="R24" i="7" s="1"/>
  <c r="R17" i="8"/>
  <c r="S14" i="8" s="1"/>
  <c r="S18" i="8" s="1"/>
  <c r="S25" i="7" s="1"/>
  <c r="S15" i="8" l="1"/>
  <c r="S16" i="8"/>
  <c r="S19" i="8" l="1"/>
  <c r="S24" i="7" s="1"/>
  <c r="S17" i="8"/>
  <c r="T14" i="8" s="1"/>
  <c r="T18" i="8" s="1"/>
  <c r="T25" i="7" s="1"/>
  <c r="T16" i="8" l="1"/>
  <c r="T15" i="8"/>
  <c r="T17" i="8" s="1"/>
  <c r="U14" i="8" s="1"/>
  <c r="T19" i="8" l="1"/>
  <c r="T24" i="7" s="1"/>
  <c r="U18" i="8"/>
  <c r="U25" i="7" s="1"/>
  <c r="U15" i="8"/>
  <c r="U16" i="8"/>
  <c r="U17" i="8" l="1"/>
  <c r="V14" i="8" s="1"/>
  <c r="V18" i="8" s="1"/>
  <c r="V25" i="7" s="1"/>
  <c r="U19" i="8"/>
  <c r="U24" i="7" s="1"/>
  <c r="V15" i="8" l="1"/>
  <c r="V16" i="8"/>
  <c r="V17" i="8" l="1"/>
  <c r="V19" i="8"/>
  <c r="V24" i="7" s="1"/>
  <c r="I11" i="4"/>
  <c r="D22" i="8" l="1"/>
  <c r="D23" i="8" s="1"/>
  <c r="J11" i="4"/>
  <c r="H12" i="4" s="1"/>
  <c r="I12" i="4" l="1"/>
  <c r="J12" i="4" s="1"/>
  <c r="H13" i="4" l="1"/>
  <c r="I13" i="4" s="1"/>
  <c r="J13" i="4" s="1"/>
  <c r="H14" i="4" s="1"/>
  <c r="I14" i="4" s="1"/>
  <c r="J14" i="4" s="1"/>
  <c r="H15" i="4" s="1"/>
  <c r="I15" i="4" l="1"/>
  <c r="J15" i="4" s="1"/>
  <c r="H16" i="4" s="1"/>
  <c r="I16" i="4" l="1"/>
  <c r="J16" i="4" l="1"/>
  <c r="H17" i="4" s="1"/>
  <c r="I17" i="4" l="1"/>
  <c r="J17" i="4" s="1"/>
  <c r="H18" i="4" s="1"/>
  <c r="I18" i="4" l="1"/>
  <c r="J18" i="4" s="1"/>
  <c r="H19" i="4" s="1"/>
  <c r="I19" i="4" l="1"/>
  <c r="J19" i="4" s="1"/>
  <c r="H20" i="4" s="1"/>
  <c r="I20" i="4" l="1"/>
  <c r="J20" i="4" s="1"/>
  <c r="H21" i="4" s="1"/>
  <c r="I21" i="4" l="1"/>
  <c r="J21" i="4" s="1"/>
  <c r="H22" i="4" s="1"/>
  <c r="I22" i="4" l="1"/>
  <c r="J22" i="4" s="1"/>
  <c r="H23" i="4" s="1"/>
  <c r="I23" i="4" l="1"/>
  <c r="J23" i="4" s="1"/>
  <c r="H24" i="4" s="1"/>
  <c r="I24" i="4" l="1"/>
  <c r="J24" i="4" s="1"/>
  <c r="H25" i="4" s="1"/>
  <c r="I25" i="4" l="1"/>
  <c r="J25" i="4" s="1"/>
  <c r="H26" i="4" s="1"/>
  <c r="I26" i="4" l="1"/>
  <c r="J26" i="4" s="1"/>
  <c r="H27" i="4" s="1"/>
  <c r="I27" i="4" l="1"/>
  <c r="I29" i="4" s="1"/>
  <c r="C45" i="5" s="1"/>
  <c r="O45" i="5" l="1"/>
  <c r="P45" i="5"/>
  <c r="Q45" i="5"/>
  <c r="R45" i="5"/>
  <c r="S45" i="5"/>
  <c r="T45" i="5"/>
  <c r="L45" i="5"/>
  <c r="U45" i="5"/>
  <c r="M45" i="5"/>
  <c r="V45" i="5"/>
  <c r="N45" i="5"/>
  <c r="D34" i="4"/>
  <c r="J45" i="5"/>
  <c r="E45" i="5"/>
  <c r="D45" i="5"/>
  <c r="F45" i="5"/>
  <c r="G45" i="5"/>
  <c r="H45" i="5"/>
  <c r="D46" i="4"/>
  <c r="K45" i="5"/>
  <c r="I45" i="5"/>
  <c r="J27" i="4"/>
  <c r="D7" i="10" l="1"/>
  <c r="D16" i="1" s="1"/>
  <c r="D40" i="4"/>
  <c r="D47" i="4"/>
  <c r="C8" i="6"/>
  <c r="C45" i="6" s="1"/>
  <c r="D62" i="4"/>
  <c r="D74" i="10" s="1"/>
  <c r="D63" i="4"/>
  <c r="D71" i="10"/>
  <c r="D28" i="6"/>
  <c r="C13" i="12"/>
  <c r="C9" i="6" l="1"/>
  <c r="C46" i="5" s="1"/>
  <c r="C47" i="5" s="1"/>
  <c r="C44" i="6"/>
  <c r="C47" i="6" s="1"/>
  <c r="D9" i="10"/>
  <c r="D18" i="1" s="1"/>
  <c r="C12" i="12"/>
  <c r="C49" i="5" l="1"/>
  <c r="C50" i="5" s="1"/>
  <c r="C10" i="6" s="1"/>
  <c r="C11" i="6" s="1"/>
  <c r="C12" i="6" s="1"/>
  <c r="C7" i="7" l="1"/>
  <c r="C16" i="6" l="1"/>
  <c r="C14" i="6"/>
  <c r="C13" i="6"/>
  <c r="C8" i="9" l="1"/>
  <c r="C9" i="9" s="1"/>
  <c r="C10" i="9" s="1"/>
  <c r="C8" i="7"/>
  <c r="C9" i="7" s="1"/>
  <c r="C15" i="6"/>
  <c r="C27" i="7" s="1"/>
  <c r="D8" i="6"/>
  <c r="C27" i="9" l="1"/>
  <c r="C29" i="9" s="1"/>
  <c r="D7" i="9"/>
  <c r="D9" i="6"/>
  <c r="D44" i="6"/>
  <c r="D47" i="6" s="1"/>
  <c r="D46" i="10"/>
  <c r="D42" i="4"/>
  <c r="D43" i="4" s="1"/>
  <c r="D36" i="4"/>
  <c r="D37" i="4" s="1"/>
  <c r="D54" i="4" s="1"/>
  <c r="D10" i="10" s="1"/>
  <c r="C7" i="9"/>
  <c r="C11" i="9" s="1"/>
  <c r="C10" i="7" s="1"/>
  <c r="C11" i="7" s="1"/>
  <c r="D8" i="10"/>
  <c r="D17" i="1" s="1"/>
  <c r="D14" i="9"/>
  <c r="C30" i="7" l="1"/>
  <c r="C37" i="6" s="1"/>
  <c r="C51" i="6" s="1"/>
  <c r="D16" i="10"/>
  <c r="C29" i="7"/>
  <c r="D28" i="7" s="1"/>
  <c r="D58" i="4"/>
  <c r="D60" i="4" s="1"/>
  <c r="D49" i="4"/>
  <c r="D46" i="5"/>
  <c r="C8" i="12" l="1"/>
  <c r="C34" i="12"/>
  <c r="C38" i="6"/>
  <c r="C52" i="6" l="1"/>
  <c r="C39" i="6"/>
  <c r="C20" i="7" l="1"/>
  <c r="C21" i="7" s="1"/>
  <c r="C26" i="7" s="1"/>
  <c r="C40" i="6"/>
  <c r="D35" i="6" s="1"/>
  <c r="C13" i="7" l="1"/>
  <c r="C12" i="7"/>
  <c r="D47" i="10" s="1"/>
  <c r="D36" i="6"/>
  <c r="D45" i="6"/>
  <c r="C14" i="7" l="1"/>
  <c r="D47" i="5"/>
  <c r="D49" i="5" s="1"/>
  <c r="D50" i="5" s="1"/>
  <c r="D7" i="7" l="1"/>
  <c r="D10" i="6"/>
  <c r="D11" i="6" l="1"/>
  <c r="D12" i="6" s="1"/>
  <c r="D16" i="6" l="1"/>
  <c r="D14" i="6"/>
  <c r="D13" i="6"/>
  <c r="E8" i="6" l="1"/>
  <c r="D8" i="7"/>
  <c r="D9" i="7" s="1"/>
  <c r="D8" i="9"/>
  <c r="D9" i="9" s="1"/>
  <c r="D10" i="9" s="1"/>
  <c r="D15" i="6"/>
  <c r="D27" i="9" l="1"/>
  <c r="D29" i="9" s="1"/>
  <c r="E7" i="9"/>
  <c r="D11" i="9"/>
  <c r="D10" i="7" s="1"/>
  <c r="D11" i="7" s="1"/>
  <c r="D30" i="7" s="1"/>
  <c r="E44" i="6"/>
  <c r="E47" i="6" s="1"/>
  <c r="E9" i="6"/>
  <c r="D27" i="7"/>
  <c r="D37" i="6" l="1"/>
  <c r="E46" i="5"/>
  <c r="D29" i="7"/>
  <c r="E28" i="7" s="1"/>
  <c r="D51" i="6" l="1"/>
  <c r="D52" i="6" l="1"/>
  <c r="D38" i="6"/>
  <c r="D39" i="6" s="1"/>
  <c r="D20" i="7" s="1"/>
  <c r="D21" i="7" s="1"/>
  <c r="D26" i="7" s="1"/>
  <c r="D13" i="7" l="1"/>
  <c r="D12" i="7"/>
  <c r="D40" i="6"/>
  <c r="E35" i="6" s="1"/>
  <c r="E36" i="6" l="1"/>
  <c r="E45" i="6"/>
  <c r="D48" i="10"/>
  <c r="D14" i="7"/>
  <c r="E47" i="5" l="1"/>
  <c r="E49" i="5" s="1"/>
  <c r="E50" i="5" s="1"/>
  <c r="E7" i="7" l="1"/>
  <c r="E10" i="6"/>
  <c r="E11" i="6" l="1"/>
  <c r="E12" i="6" s="1"/>
  <c r="E16" i="6" l="1"/>
  <c r="E14" i="6"/>
  <c r="E13" i="6"/>
  <c r="E8" i="7" l="1"/>
  <c r="E9" i="7" s="1"/>
  <c r="E8" i="9"/>
  <c r="E9" i="9" s="1"/>
  <c r="E10" i="9" s="1"/>
  <c r="E15" i="6"/>
  <c r="F8" i="6"/>
  <c r="F7" i="9" l="1"/>
  <c r="E11" i="9"/>
  <c r="E10" i="7" s="1"/>
  <c r="E11" i="7" s="1"/>
  <c r="E30" i="7" s="1"/>
  <c r="E27" i="9"/>
  <c r="E29" i="9" s="1"/>
  <c r="F44" i="6"/>
  <c r="F47" i="6" s="1"/>
  <c r="F9" i="6"/>
  <c r="E27" i="7"/>
  <c r="F46" i="5" l="1"/>
  <c r="E29" i="7"/>
  <c r="F28" i="7" s="1"/>
  <c r="E37" i="6"/>
  <c r="E51" i="6" l="1"/>
  <c r="E38" i="6" l="1"/>
  <c r="E39" i="6" s="1"/>
  <c r="E20" i="7" s="1"/>
  <c r="E21" i="7" s="1"/>
  <c r="E26" i="7" s="1"/>
  <c r="E52" i="6"/>
  <c r="E40" i="6" l="1"/>
  <c r="F35" i="6" s="1"/>
  <c r="F36" i="6" s="1"/>
  <c r="E13" i="7"/>
  <c r="E12" i="7"/>
  <c r="F45" i="6" l="1"/>
  <c r="D49" i="10"/>
  <c r="E14" i="7"/>
  <c r="F47" i="5"/>
  <c r="F49" i="5" s="1"/>
  <c r="F50" i="5" s="1"/>
  <c r="F7" i="7" l="1"/>
  <c r="F10" i="6"/>
  <c r="F11" i="6" l="1"/>
  <c r="F12" i="6" s="1"/>
  <c r="F16" i="6" l="1"/>
  <c r="F14" i="6"/>
  <c r="F13" i="6"/>
  <c r="F8" i="7" l="1"/>
  <c r="F9" i="7" s="1"/>
  <c r="F8" i="9"/>
  <c r="F9" i="9" s="1"/>
  <c r="F10" i="9" s="1"/>
  <c r="F15" i="6"/>
  <c r="G8" i="6"/>
  <c r="G44" i="6" l="1"/>
  <c r="G47" i="6" s="1"/>
  <c r="G9" i="6"/>
  <c r="F27" i="7"/>
  <c r="F11" i="9"/>
  <c r="F10" i="7" s="1"/>
  <c r="F11" i="7" s="1"/>
  <c r="F30" i="7" s="1"/>
  <c r="G7" i="9"/>
  <c r="F27" i="9"/>
  <c r="F29" i="9" s="1"/>
  <c r="F37" i="6" l="1"/>
  <c r="G46" i="5"/>
  <c r="F51" i="6" l="1"/>
  <c r="F38" i="6" s="1"/>
  <c r="F39" i="6" l="1"/>
  <c r="F20" i="7" s="1"/>
  <c r="F21" i="7" s="1"/>
  <c r="F26" i="7" s="1"/>
  <c r="F29" i="7" s="1"/>
  <c r="G28" i="7" s="1"/>
  <c r="F52" i="6"/>
  <c r="F40" i="6" s="1"/>
  <c r="G35" i="6" s="1"/>
  <c r="G36" i="6" l="1"/>
  <c r="G45" i="6"/>
  <c r="F13" i="7"/>
  <c r="F12" i="7"/>
  <c r="D50" i="10" l="1"/>
  <c r="F14" i="7"/>
  <c r="G47" i="5"/>
  <c r="G49" i="5" s="1"/>
  <c r="G50" i="5" s="1"/>
  <c r="G7" i="7" l="1"/>
  <c r="G10" i="6"/>
  <c r="G11" i="6" l="1"/>
  <c r="G12" i="6" s="1"/>
  <c r="G16" i="6" l="1"/>
  <c r="G14" i="6"/>
  <c r="G13" i="6"/>
  <c r="G8" i="9" l="1"/>
  <c r="G9" i="9" s="1"/>
  <c r="G10" i="9" s="1"/>
  <c r="G8" i="7"/>
  <c r="G9" i="7" s="1"/>
  <c r="G15" i="6"/>
  <c r="H8" i="6"/>
  <c r="H9" i="6" l="1"/>
  <c r="H44" i="6"/>
  <c r="H47" i="6" s="1"/>
  <c r="G11" i="9"/>
  <c r="G10" i="7" s="1"/>
  <c r="G11" i="7" s="1"/>
  <c r="H7" i="9"/>
  <c r="G27" i="9"/>
  <c r="G29" i="9" s="1"/>
  <c r="G27" i="7"/>
  <c r="G30" i="7" l="1"/>
  <c r="G37" i="6" s="1"/>
  <c r="H46" i="5"/>
  <c r="G51" i="6" l="1"/>
  <c r="G38" i="6" s="1"/>
  <c r="G39" i="6" l="1"/>
  <c r="G20" i="7" s="1"/>
  <c r="G21" i="7" s="1"/>
  <c r="G26" i="7" s="1"/>
  <c r="G29" i="7" s="1"/>
  <c r="H28" i="7" s="1"/>
  <c r="G52" i="6"/>
  <c r="G40" i="6" s="1"/>
  <c r="H35" i="6" s="1"/>
  <c r="H36" i="6" l="1"/>
  <c r="H45" i="6"/>
  <c r="G13" i="7"/>
  <c r="G12" i="7"/>
  <c r="D51" i="10" l="1"/>
  <c r="G14" i="7"/>
  <c r="H47" i="5"/>
  <c r="H49" i="5" s="1"/>
  <c r="H50" i="5" s="1"/>
  <c r="H10" i="6" l="1"/>
  <c r="H7" i="7"/>
  <c r="H11" i="6" l="1"/>
  <c r="H12" i="6" s="1"/>
  <c r="H16" i="6" l="1"/>
  <c r="H14" i="6"/>
  <c r="H13" i="6"/>
  <c r="H8" i="9" l="1"/>
  <c r="H9" i="9" s="1"/>
  <c r="H8" i="7"/>
  <c r="H9" i="7" s="1"/>
  <c r="H15" i="6"/>
  <c r="H27" i="7" s="1"/>
  <c r="H10" i="9"/>
  <c r="I8" i="6"/>
  <c r="I9" i="6" l="1"/>
  <c r="I44" i="6"/>
  <c r="I47" i="6" s="1"/>
  <c r="H27" i="9"/>
  <c r="H29" i="9" s="1"/>
  <c r="I7" i="9"/>
  <c r="H11" i="9"/>
  <c r="H10" i="7" s="1"/>
  <c r="H11" i="7" s="1"/>
  <c r="H30" i="7" s="1"/>
  <c r="H37" i="6" l="1"/>
  <c r="I46" i="5"/>
  <c r="H51" i="6" l="1"/>
  <c r="H38" i="6" s="1"/>
  <c r="H39" i="6" l="1"/>
  <c r="H20" i="7" s="1"/>
  <c r="H21" i="7" s="1"/>
  <c r="H26" i="7" s="1"/>
  <c r="H29" i="7" s="1"/>
  <c r="I28" i="7" s="1"/>
  <c r="H52" i="6"/>
  <c r="H40" i="6" s="1"/>
  <c r="I35" i="6" s="1"/>
  <c r="I36" i="6" l="1"/>
  <c r="I45" i="6"/>
  <c r="H13" i="7"/>
  <c r="H12" i="7"/>
  <c r="D52" i="10" l="1"/>
  <c r="H14" i="7"/>
  <c r="I47" i="5"/>
  <c r="I49" i="5" s="1"/>
  <c r="I50" i="5" s="1"/>
  <c r="I10" i="6" l="1"/>
  <c r="I7" i="7"/>
  <c r="I11" i="6" l="1"/>
  <c r="I12" i="6" s="1"/>
  <c r="I16" i="6" l="1"/>
  <c r="I14" i="6"/>
  <c r="I13" i="6"/>
  <c r="I8" i="9" l="1"/>
  <c r="I9" i="9" s="1"/>
  <c r="I10" i="9" s="1"/>
  <c r="I8" i="7"/>
  <c r="I9" i="7" s="1"/>
  <c r="I15" i="6"/>
  <c r="I27" i="7" s="1"/>
  <c r="J8" i="6"/>
  <c r="J9" i="6" l="1"/>
  <c r="J44" i="6"/>
  <c r="J47" i="6" s="1"/>
  <c r="J7" i="9"/>
  <c r="I11" i="9"/>
  <c r="I10" i="7" s="1"/>
  <c r="I11" i="7" s="1"/>
  <c r="I30" i="7" s="1"/>
  <c r="I27" i="9"/>
  <c r="I29" i="9" s="1"/>
  <c r="I37" i="6" l="1"/>
  <c r="J46" i="5"/>
  <c r="I51" i="6" l="1"/>
  <c r="I52" i="6" l="1"/>
  <c r="I38" i="6"/>
  <c r="I39" i="6" s="1"/>
  <c r="I20" i="7" s="1"/>
  <c r="I21" i="7" s="1"/>
  <c r="I26" i="7" s="1"/>
  <c r="I29" i="7" s="1"/>
  <c r="J28" i="7" s="1"/>
  <c r="I13" i="7" l="1"/>
  <c r="I12" i="7"/>
  <c r="I40" i="6"/>
  <c r="J35" i="6" s="1"/>
  <c r="J36" i="6" l="1"/>
  <c r="J45" i="6"/>
  <c r="D53" i="10"/>
  <c r="I14" i="7"/>
  <c r="J47" i="5" l="1"/>
  <c r="J49" i="5" s="1"/>
  <c r="J50" i="5" s="1"/>
  <c r="J7" i="7" l="1"/>
  <c r="J10" i="6"/>
  <c r="J11" i="6" l="1"/>
  <c r="J12" i="6" s="1"/>
  <c r="J16" i="6" l="1"/>
  <c r="J14" i="6"/>
  <c r="J13" i="6"/>
  <c r="K8" i="6" l="1"/>
  <c r="J8" i="7"/>
  <c r="J9" i="7" s="1"/>
  <c r="J8" i="9"/>
  <c r="J9" i="9" s="1"/>
  <c r="J10" i="9" s="1"/>
  <c r="J15" i="6"/>
  <c r="J27" i="7" s="1"/>
  <c r="K7" i="9" l="1"/>
  <c r="J11" i="9"/>
  <c r="J10" i="7" s="1"/>
  <c r="J11" i="7" s="1"/>
  <c r="J30" i="7" s="1"/>
  <c r="J27" i="9"/>
  <c r="J29" i="9" s="1"/>
  <c r="K9" i="6"/>
  <c r="K44" i="6"/>
  <c r="K47" i="6" s="1"/>
  <c r="J37" i="6" l="1"/>
  <c r="K46" i="5"/>
  <c r="J51" i="6" l="1"/>
  <c r="J52" i="6" l="1"/>
  <c r="J38" i="6"/>
  <c r="J39" i="6" s="1"/>
  <c r="J20" i="7" s="1"/>
  <c r="J21" i="7" s="1"/>
  <c r="J26" i="7" s="1"/>
  <c r="J29" i="7" s="1"/>
  <c r="K28" i="7" s="1"/>
  <c r="J13" i="7" l="1"/>
  <c r="J12" i="7"/>
  <c r="J40" i="6"/>
  <c r="K35" i="6" s="1"/>
  <c r="K36" i="6" l="1"/>
  <c r="K45" i="6"/>
  <c r="D54" i="10"/>
  <c r="J14" i="7"/>
  <c r="K47" i="5" l="1"/>
  <c r="K49" i="5" s="1"/>
  <c r="K50" i="5" s="1"/>
  <c r="K7" i="7" l="1"/>
  <c r="K10" i="6"/>
  <c r="K11" i="6" l="1"/>
  <c r="K12" i="6" s="1"/>
  <c r="K16" i="6" l="1"/>
  <c r="K14" i="6"/>
  <c r="K13" i="6"/>
  <c r="K8" i="9" l="1"/>
  <c r="K9" i="9" s="1"/>
  <c r="K10" i="9" s="1"/>
  <c r="K8" i="7"/>
  <c r="K9" i="7" s="1"/>
  <c r="K15" i="6"/>
  <c r="K27" i="7" s="1"/>
  <c r="L8" i="6"/>
  <c r="L44" i="6" l="1"/>
  <c r="L47" i="6" s="1"/>
  <c r="L9" i="6"/>
  <c r="K11" i="9"/>
  <c r="K10" i="7" s="1"/>
  <c r="K11" i="7" s="1"/>
  <c r="K30" i="7" s="1"/>
  <c r="L7" i="9"/>
  <c r="K27" i="9"/>
  <c r="K29" i="9" s="1"/>
  <c r="K37" i="6" l="1"/>
  <c r="L46" i="5"/>
  <c r="K51" i="6" l="1"/>
  <c r="K38" i="6" s="1"/>
  <c r="K39" i="6" l="1"/>
  <c r="K20" i="7" s="1"/>
  <c r="K21" i="7" s="1"/>
  <c r="K26" i="7" s="1"/>
  <c r="K29" i="7" s="1"/>
  <c r="L28" i="7" s="1"/>
  <c r="K52" i="6"/>
  <c r="K40" i="6" s="1"/>
  <c r="L35" i="6" s="1"/>
  <c r="L36" i="6" l="1"/>
  <c r="L45" i="6"/>
  <c r="K13" i="7"/>
  <c r="K12" i="7"/>
  <c r="D55" i="10" l="1"/>
  <c r="K14" i="7"/>
  <c r="L47" i="5"/>
  <c r="L49" i="5" s="1"/>
  <c r="L50" i="5" s="1"/>
  <c r="L7" i="7" l="1"/>
  <c r="L10" i="6"/>
  <c r="L11" i="6" l="1"/>
  <c r="L12" i="6" s="1"/>
  <c r="L16" i="6" l="1"/>
  <c r="L14" i="6"/>
  <c r="L13" i="6"/>
  <c r="L8" i="9" l="1"/>
  <c r="L9" i="9" s="1"/>
  <c r="L10" i="9" s="1"/>
  <c r="L8" i="7"/>
  <c r="L9" i="7" s="1"/>
  <c r="L15" i="6"/>
  <c r="L27" i="7" s="1"/>
  <c r="M8" i="6"/>
  <c r="M9" i="6" l="1"/>
  <c r="M44" i="6"/>
  <c r="M47" i="6" s="1"/>
  <c r="M7" i="9"/>
  <c r="L11" i="9"/>
  <c r="L10" i="7" s="1"/>
  <c r="L11" i="7" s="1"/>
  <c r="L30" i="7" s="1"/>
  <c r="L27" i="9"/>
  <c r="L29" i="9" s="1"/>
  <c r="L37" i="6" l="1"/>
  <c r="M46" i="5"/>
  <c r="L51" i="6" l="1"/>
  <c r="L38" i="6" s="1"/>
  <c r="L39" i="6" l="1"/>
  <c r="L20" i="7" s="1"/>
  <c r="L21" i="7" s="1"/>
  <c r="L26" i="7" s="1"/>
  <c r="L29" i="7" s="1"/>
  <c r="M28" i="7" s="1"/>
  <c r="L52" i="6"/>
  <c r="L40" i="6" s="1"/>
  <c r="M35" i="6" s="1"/>
  <c r="M36" i="6" l="1"/>
  <c r="M45" i="6"/>
  <c r="L13" i="7"/>
  <c r="L12" i="7"/>
  <c r="D56" i="10" l="1"/>
  <c r="L14" i="7"/>
  <c r="M47" i="5"/>
  <c r="M49" i="5" s="1"/>
  <c r="M50" i="5" s="1"/>
  <c r="M10" i="6" l="1"/>
  <c r="M7" i="7"/>
  <c r="M11" i="6" l="1"/>
  <c r="M12" i="6" s="1"/>
  <c r="M16" i="6" l="1"/>
  <c r="M14" i="6"/>
  <c r="M13" i="6"/>
  <c r="M8" i="7" l="1"/>
  <c r="M9" i="7" s="1"/>
  <c r="M8" i="9"/>
  <c r="M9" i="9" s="1"/>
  <c r="M10" i="9" s="1"/>
  <c r="M15" i="6"/>
  <c r="M27" i="7" s="1"/>
  <c r="N8" i="6"/>
  <c r="N44" i="6" l="1"/>
  <c r="N47" i="6" s="1"/>
  <c r="N9" i="6"/>
  <c r="M11" i="9"/>
  <c r="M10" i="7" s="1"/>
  <c r="M11" i="7" s="1"/>
  <c r="M30" i="7" s="1"/>
  <c r="N7" i="9"/>
  <c r="M27" i="9"/>
  <c r="M29" i="9" s="1"/>
  <c r="M37" i="6" l="1"/>
  <c r="N46" i="5"/>
  <c r="M51" i="6" l="1"/>
  <c r="M38" i="6" s="1"/>
  <c r="M39" i="6" l="1"/>
  <c r="M20" i="7" s="1"/>
  <c r="M21" i="7" s="1"/>
  <c r="M26" i="7" s="1"/>
  <c r="M29" i="7" s="1"/>
  <c r="N28" i="7" s="1"/>
  <c r="M52" i="6"/>
  <c r="M40" i="6" s="1"/>
  <c r="N35" i="6" s="1"/>
  <c r="N36" i="6" l="1"/>
  <c r="N45" i="6"/>
  <c r="M13" i="7"/>
  <c r="M12" i="7"/>
  <c r="D57" i="10" l="1"/>
  <c r="M14" i="7"/>
  <c r="N47" i="5"/>
  <c r="N49" i="5" s="1"/>
  <c r="N50" i="5" s="1"/>
  <c r="N7" i="7" l="1"/>
  <c r="N10" i="6"/>
  <c r="N11" i="6" l="1"/>
  <c r="N12" i="6" s="1"/>
  <c r="N16" i="6" l="1"/>
  <c r="N14" i="6"/>
  <c r="N13" i="6"/>
  <c r="N8" i="7" l="1"/>
  <c r="N9" i="7" s="1"/>
  <c r="N8" i="9"/>
  <c r="N9" i="9" s="1"/>
  <c r="N10" i="9" s="1"/>
  <c r="N15" i="6"/>
  <c r="N27" i="7" s="1"/>
  <c r="O8" i="6"/>
  <c r="O9" i="6" l="1"/>
  <c r="O44" i="6"/>
  <c r="O47" i="6" s="1"/>
  <c r="N11" i="9"/>
  <c r="N10" i="7" s="1"/>
  <c r="N11" i="7" s="1"/>
  <c r="N30" i="7" s="1"/>
  <c r="N27" i="9"/>
  <c r="N29" i="9" s="1"/>
  <c r="O7" i="9"/>
  <c r="N37" i="6" l="1"/>
  <c r="O46" i="5"/>
  <c r="N51" i="6" l="1"/>
  <c r="N38" i="6" s="1"/>
  <c r="N39" i="6" l="1"/>
  <c r="N20" i="7" s="1"/>
  <c r="N21" i="7" s="1"/>
  <c r="N26" i="7" s="1"/>
  <c r="N29" i="7" s="1"/>
  <c r="O28" i="7" s="1"/>
  <c r="N52" i="6"/>
  <c r="N40" i="6" s="1"/>
  <c r="O35" i="6" s="1"/>
  <c r="O36" i="6" l="1"/>
  <c r="O45" i="6"/>
  <c r="N13" i="7"/>
  <c r="N12" i="7"/>
  <c r="D58" i="10" l="1"/>
  <c r="N14" i="7"/>
  <c r="O47" i="5"/>
  <c r="O49" i="5" s="1"/>
  <c r="O50" i="5" s="1"/>
  <c r="O10" i="6" l="1"/>
  <c r="O7" i="7"/>
  <c r="O11" i="6" l="1"/>
  <c r="O12" i="6" s="1"/>
  <c r="O16" i="6" l="1"/>
  <c r="O14" i="6"/>
  <c r="O13" i="6"/>
  <c r="O8" i="7" l="1"/>
  <c r="O9" i="7" s="1"/>
  <c r="O8" i="9"/>
  <c r="O9" i="9" s="1"/>
  <c r="O10" i="9" s="1"/>
  <c r="O15" i="6"/>
  <c r="O27" i="7" s="1"/>
  <c r="P8" i="6"/>
  <c r="P44" i="6" l="1"/>
  <c r="P47" i="6" s="1"/>
  <c r="P9" i="6"/>
  <c r="O27" i="9"/>
  <c r="O29" i="9" s="1"/>
  <c r="O11" i="9"/>
  <c r="O10" i="7" s="1"/>
  <c r="O11" i="7" s="1"/>
  <c r="O30" i="7" s="1"/>
  <c r="P7" i="9"/>
  <c r="O37" i="6" l="1"/>
  <c r="P46" i="5"/>
  <c r="O51" i="6" l="1"/>
  <c r="O38" i="6" s="1"/>
  <c r="O39" i="6" l="1"/>
  <c r="O20" i="7" s="1"/>
  <c r="O21" i="7" s="1"/>
  <c r="O26" i="7" s="1"/>
  <c r="O29" i="7" s="1"/>
  <c r="P28" i="7" s="1"/>
  <c r="O52" i="6"/>
  <c r="O40" i="6" s="1"/>
  <c r="P35" i="6" s="1"/>
  <c r="P36" i="6" l="1"/>
  <c r="P45" i="6"/>
  <c r="O13" i="7"/>
  <c r="O12" i="7"/>
  <c r="P47" i="5" l="1"/>
  <c r="P49" i="5" s="1"/>
  <c r="P50" i="5" s="1"/>
  <c r="P10" i="6" s="1"/>
  <c r="D59" i="10"/>
  <c r="O14" i="7"/>
  <c r="P7" i="7" l="1"/>
  <c r="P11" i="6" l="1"/>
  <c r="P12" i="6" s="1"/>
  <c r="P16" i="6" l="1"/>
  <c r="P14" i="6"/>
  <c r="P13" i="6"/>
  <c r="P15" i="6" s="1"/>
  <c r="P8" i="9" l="1"/>
  <c r="P9" i="9" s="1"/>
  <c r="P8" i="7"/>
  <c r="P9" i="7" s="1"/>
  <c r="P27" i="7"/>
  <c r="Q8" i="6"/>
  <c r="P10" i="9"/>
  <c r="Q7" i="9" l="1"/>
  <c r="P27" i="9"/>
  <c r="P29" i="9" s="1"/>
  <c r="P11" i="9"/>
  <c r="P10" i="7" s="1"/>
  <c r="P11" i="7" s="1"/>
  <c r="P30" i="7" s="1"/>
  <c r="Q44" i="6"/>
  <c r="Q47" i="6" s="1"/>
  <c r="Q9" i="6"/>
  <c r="P37" i="6" l="1"/>
  <c r="Q46" i="5"/>
  <c r="P51" i="6" l="1"/>
  <c r="P52" i="6" l="1"/>
  <c r="P38" i="6"/>
  <c r="P39" i="6" s="1"/>
  <c r="P20" i="7" s="1"/>
  <c r="P21" i="7" s="1"/>
  <c r="P26" i="7" s="1"/>
  <c r="P29" i="7" s="1"/>
  <c r="Q28" i="7" s="1"/>
  <c r="P13" i="7" l="1"/>
  <c r="P12" i="7"/>
  <c r="P40" i="6"/>
  <c r="Q35" i="6" s="1"/>
  <c r="Q36" i="6" l="1"/>
  <c r="Q45" i="6"/>
  <c r="D60" i="10"/>
  <c r="P14" i="7"/>
  <c r="Q47" i="5" l="1"/>
  <c r="Q49" i="5" s="1"/>
  <c r="Q50" i="5" s="1"/>
  <c r="Q7" i="7" l="1"/>
  <c r="Q10" i="6"/>
  <c r="Q11" i="6" l="1"/>
  <c r="Q12" i="6" s="1"/>
  <c r="Q16" i="6" l="1"/>
  <c r="Q14" i="6"/>
  <c r="Q13" i="6"/>
  <c r="R8" i="6" l="1"/>
  <c r="Q8" i="7"/>
  <c r="Q9" i="7" s="1"/>
  <c r="Q8" i="9"/>
  <c r="Q9" i="9" s="1"/>
  <c r="Q10" i="9" s="1"/>
  <c r="Q15" i="6"/>
  <c r="Q27" i="7" s="1"/>
  <c r="Q11" i="9" l="1"/>
  <c r="Q10" i="7" s="1"/>
  <c r="Q11" i="7" s="1"/>
  <c r="Q30" i="7" s="1"/>
  <c r="R7" i="9"/>
  <c r="Q27" i="9"/>
  <c r="Q29" i="9" s="1"/>
  <c r="R44" i="6"/>
  <c r="R47" i="6" s="1"/>
  <c r="R9" i="6"/>
  <c r="Q37" i="6" l="1"/>
  <c r="R46" i="5"/>
  <c r="Q51" i="6" l="1"/>
  <c r="Q38" i="6" s="1"/>
  <c r="Q39" i="6" l="1"/>
  <c r="Q20" i="7" s="1"/>
  <c r="Q21" i="7" s="1"/>
  <c r="Q26" i="7" s="1"/>
  <c r="Q29" i="7" s="1"/>
  <c r="R28" i="7" s="1"/>
  <c r="Q52" i="6"/>
  <c r="Q40" i="6" s="1"/>
  <c r="R35" i="6" s="1"/>
  <c r="R36" i="6" l="1"/>
  <c r="R45" i="6"/>
  <c r="Q13" i="7"/>
  <c r="Q12" i="7"/>
  <c r="D61" i="10" l="1"/>
  <c r="Q14" i="7"/>
  <c r="R47" i="5"/>
  <c r="R49" i="5" s="1"/>
  <c r="R50" i="5" s="1"/>
  <c r="R7" i="7" l="1"/>
  <c r="R10" i="6"/>
  <c r="R11" i="6" l="1"/>
  <c r="R12" i="6" s="1"/>
  <c r="R16" i="6" l="1"/>
  <c r="R14" i="6"/>
  <c r="R13" i="6"/>
  <c r="R8" i="9" l="1"/>
  <c r="R9" i="9" s="1"/>
  <c r="R8" i="7"/>
  <c r="R9" i="7" s="1"/>
  <c r="R15" i="6"/>
  <c r="R27" i="7" s="1"/>
  <c r="S8" i="6"/>
  <c r="R10" i="9"/>
  <c r="R11" i="9" l="1"/>
  <c r="R10" i="7" s="1"/>
  <c r="R27" i="9"/>
  <c r="R29" i="9" s="1"/>
  <c r="S7" i="9"/>
  <c r="S9" i="6"/>
  <c r="S44" i="6"/>
  <c r="S47" i="6" s="1"/>
  <c r="R11" i="7"/>
  <c r="R30" i="7" s="1"/>
  <c r="R37" i="6" l="1"/>
  <c r="S46" i="5"/>
  <c r="R51" i="6" l="1"/>
  <c r="R38" i="6" s="1"/>
  <c r="R39" i="6" l="1"/>
  <c r="R20" i="7" s="1"/>
  <c r="R21" i="7" s="1"/>
  <c r="R26" i="7" s="1"/>
  <c r="R29" i="7" s="1"/>
  <c r="S28" i="7" s="1"/>
  <c r="R52" i="6"/>
  <c r="R40" i="6" s="1"/>
  <c r="S35" i="6" s="1"/>
  <c r="S36" i="6" l="1"/>
  <c r="S45" i="6"/>
  <c r="R13" i="7"/>
  <c r="R12" i="7"/>
  <c r="D62" i="10" l="1"/>
  <c r="R14" i="7"/>
  <c r="S47" i="5"/>
  <c r="S49" i="5" s="1"/>
  <c r="S50" i="5" s="1"/>
  <c r="S10" i="6" l="1"/>
  <c r="S7" i="7"/>
  <c r="S11" i="6" l="1"/>
  <c r="S12" i="6" s="1"/>
  <c r="S16" i="6" l="1"/>
  <c r="S14" i="6"/>
  <c r="S13" i="6"/>
  <c r="S8" i="9" l="1"/>
  <c r="S9" i="9" s="1"/>
  <c r="S8" i="7"/>
  <c r="S9" i="7" s="1"/>
  <c r="S15" i="6"/>
  <c r="S27" i="7" s="1"/>
  <c r="T8" i="6"/>
  <c r="S10" i="9"/>
  <c r="S11" i="9" l="1"/>
  <c r="S10" i="7" s="1"/>
  <c r="S11" i="7" s="1"/>
  <c r="S30" i="7" s="1"/>
  <c r="T7" i="9"/>
  <c r="S27" i="9"/>
  <c r="S29" i="9" s="1"/>
  <c r="T9" i="6"/>
  <c r="T44" i="6"/>
  <c r="T47" i="6" s="1"/>
  <c r="S37" i="6" l="1"/>
  <c r="T46" i="5"/>
  <c r="S51" i="6" l="1"/>
  <c r="S52" i="6" l="1"/>
  <c r="S38" i="6"/>
  <c r="S39" i="6" s="1"/>
  <c r="S20" i="7" s="1"/>
  <c r="S21" i="7" s="1"/>
  <c r="S26" i="7" s="1"/>
  <c r="S29" i="7" s="1"/>
  <c r="T28" i="7" s="1"/>
  <c r="S13" i="7" l="1"/>
  <c r="S12" i="7"/>
  <c r="S40" i="6"/>
  <c r="T35" i="6" s="1"/>
  <c r="T36" i="6" l="1"/>
  <c r="T45" i="6"/>
  <c r="D63" i="10"/>
  <c r="S14" i="7"/>
  <c r="T47" i="5" l="1"/>
  <c r="T49" i="5" s="1"/>
  <c r="T50" i="5" s="1"/>
  <c r="T10" i="6" l="1"/>
  <c r="T7" i="7"/>
  <c r="T11" i="6" l="1"/>
  <c r="T12" i="6" s="1"/>
  <c r="T16" i="6" l="1"/>
  <c r="T14" i="6"/>
  <c r="T13" i="6"/>
  <c r="T8" i="9" l="1"/>
  <c r="T9" i="9" s="1"/>
  <c r="T10" i="9" s="1"/>
  <c r="T8" i="7"/>
  <c r="T9" i="7" s="1"/>
  <c r="T15" i="6"/>
  <c r="T27" i="7" s="1"/>
  <c r="U8" i="6"/>
  <c r="U9" i="6" l="1"/>
  <c r="U44" i="6"/>
  <c r="U47" i="6" s="1"/>
  <c r="U7" i="9"/>
  <c r="T11" i="9"/>
  <c r="T10" i="7" s="1"/>
  <c r="T11" i="7" s="1"/>
  <c r="T30" i="7" s="1"/>
  <c r="T27" i="9"/>
  <c r="T29" i="9" s="1"/>
  <c r="T37" i="6" l="1"/>
  <c r="U46" i="5"/>
  <c r="T51" i="6" l="1"/>
  <c r="T52" i="6" l="1"/>
  <c r="T38" i="6"/>
  <c r="T39" i="6" s="1"/>
  <c r="T20" i="7" s="1"/>
  <c r="T21" i="7" s="1"/>
  <c r="T26" i="7" s="1"/>
  <c r="T29" i="7" s="1"/>
  <c r="U28" i="7" s="1"/>
  <c r="T13" i="7" l="1"/>
  <c r="T12" i="7"/>
  <c r="T40" i="6"/>
  <c r="U35" i="6" s="1"/>
  <c r="U36" i="6" l="1"/>
  <c r="U45" i="6"/>
  <c r="D64" i="10"/>
  <c r="T14" i="7"/>
  <c r="U47" i="5" l="1"/>
  <c r="U49" i="5" s="1"/>
  <c r="U50" i="5" s="1"/>
  <c r="U10" i="6" l="1"/>
  <c r="U7" i="7"/>
  <c r="U11" i="6" l="1"/>
  <c r="U12" i="6" s="1"/>
  <c r="U16" i="6" l="1"/>
  <c r="U14" i="6"/>
  <c r="U13" i="6"/>
  <c r="U8" i="9" l="1"/>
  <c r="U9" i="9" s="1"/>
  <c r="U8" i="7"/>
  <c r="U9" i="7" s="1"/>
  <c r="U15" i="6"/>
  <c r="D19" i="6" s="1"/>
  <c r="U10" i="9"/>
  <c r="V8" i="6"/>
  <c r="V7" i="9" l="1"/>
  <c r="U27" i="9"/>
  <c r="U29" i="9" s="1"/>
  <c r="U11" i="9"/>
  <c r="U10" i="7" s="1"/>
  <c r="U11" i="7" s="1"/>
  <c r="U30" i="7" s="1"/>
  <c r="V12" i="6"/>
  <c r="V16" i="6" s="1"/>
  <c r="V9" i="6"/>
  <c r="V44" i="6"/>
  <c r="V47" i="6" s="1"/>
  <c r="C29" i="12" s="1"/>
  <c r="U27" i="7"/>
  <c r="D24" i="6"/>
  <c r="V14" i="6" l="1"/>
  <c r="D22" i="6" s="1"/>
  <c r="C11" i="12" s="1"/>
  <c r="U37" i="6"/>
  <c r="D20" i="10"/>
  <c r="D22" i="1" s="1"/>
  <c r="C10" i="12"/>
  <c r="V10" i="9"/>
  <c r="V46" i="5"/>
  <c r="V13" i="6"/>
  <c r="V8" i="9" l="1"/>
  <c r="V9" i="9" s="1"/>
  <c r="V8" i="7"/>
  <c r="U51" i="6"/>
  <c r="U38" i="6" s="1"/>
  <c r="V11" i="9"/>
  <c r="V10" i="7" s="1"/>
  <c r="D15" i="9"/>
  <c r="V27" i="9"/>
  <c r="V29" i="9" s="1"/>
  <c r="C30" i="12" s="1"/>
  <c r="U39" i="6" l="1"/>
  <c r="U20" i="7" s="1"/>
  <c r="U21" i="7" s="1"/>
  <c r="U26" i="7" s="1"/>
  <c r="U29" i="7" s="1"/>
  <c r="V28" i="7" s="1"/>
  <c r="U52" i="6"/>
  <c r="U40" i="6" s="1"/>
  <c r="V35" i="6" s="1"/>
  <c r="V36" i="6" l="1"/>
  <c r="V38" i="6"/>
  <c r="V40" i="6" s="1"/>
  <c r="C28" i="12" s="1"/>
  <c r="V45" i="6"/>
  <c r="U13" i="7"/>
  <c r="U12" i="7"/>
  <c r="D65" i="10" l="1"/>
  <c r="U14" i="7"/>
  <c r="V51" i="6"/>
  <c r="V39" i="6" s="1"/>
  <c r="V20" i="7" s="1"/>
  <c r="V47" i="5"/>
  <c r="V49" i="5" s="1"/>
  <c r="V50" i="5" s="1"/>
  <c r="V7" i="7" l="1"/>
  <c r="V9" i="7" s="1"/>
  <c r="V11" i="7" s="1"/>
  <c r="V30" i="7" s="1"/>
  <c r="V10" i="6"/>
  <c r="V11" i="6" l="1"/>
  <c r="V15" i="6"/>
  <c r="V48" i="6"/>
  <c r="C48" i="6"/>
  <c r="D27" i="6"/>
  <c r="D29" i="6" s="1"/>
  <c r="D48" i="6"/>
  <c r="E48" i="6"/>
  <c r="F48" i="6"/>
  <c r="G48" i="6"/>
  <c r="H48" i="6"/>
  <c r="I48" i="6"/>
  <c r="J48" i="6"/>
  <c r="K48" i="6"/>
  <c r="L48" i="6"/>
  <c r="M48" i="6"/>
  <c r="N48" i="6"/>
  <c r="O48" i="6"/>
  <c r="P48" i="6"/>
  <c r="Q48" i="6"/>
  <c r="R48" i="6"/>
  <c r="T48" i="6"/>
  <c r="S48" i="6"/>
  <c r="U48" i="6"/>
  <c r="V21" i="7"/>
  <c r="V26" i="7" s="1"/>
  <c r="D17" i="7" s="1"/>
  <c r="V37" i="6"/>
  <c r="V13" i="7" l="1"/>
  <c r="C9" i="12"/>
  <c r="V27" i="7"/>
  <c r="D20" i="6"/>
  <c r="D21" i="10" s="1"/>
  <c r="D21" i="6"/>
  <c r="D22" i="10" s="1"/>
  <c r="D23" i="1" s="1"/>
  <c r="D30" i="6"/>
  <c r="D24" i="10" s="1"/>
  <c r="D23" i="10"/>
  <c r="V29" i="7" l="1"/>
  <c r="V12" i="7"/>
  <c r="C32" i="12"/>
  <c r="D66" i="10" l="1"/>
  <c r="D13" i="10" s="1"/>
  <c r="V14" i="7"/>
  <c r="D18" i="7" s="1"/>
  <c r="D14" i="10" l="1"/>
  <c r="D20" i="1" s="1"/>
  <c r="D19" i="1"/>
  <c r="D17" i="10"/>
  <c r="D15" i="10" s="1"/>
  <c r="D21" i="1" s="1"/>
</calcChain>
</file>

<file path=xl/sharedStrings.xml><?xml version="1.0" encoding="utf-8"?>
<sst xmlns="http://schemas.openxmlformats.org/spreadsheetml/2006/main" count="762" uniqueCount="685">
  <si>
    <t>Tema Cocoa Processing Plant — Project Finance Model</t>
  </si>
  <si>
    <t>15,000 MT/yr installed capacity cocoa grinding facility — Tema, Ghana</t>
  </si>
  <si>
    <t>Export offtake (contracted + spot, with price floor &amp; take-or-pay) | Senior + mezzanine debt sculpted to min. 1.30x DSCR | Working capital revolver, DSRA &amp; MRA | USD reporting currency</t>
  </si>
  <si>
    <t>Live Scenario Switcher</t>
  </si>
  <si>
    <t>Active Scenario (select):</t>
  </si>
  <si>
    <t>Base</t>
  </si>
  <si>
    <t>&lt;&lt; This single cell drives the entire model (Assumptions, Operations, Debt, Outputs).</t>
  </si>
  <si>
    <t>Scenario key changes vs Base:</t>
  </si>
  <si>
    <t>Best: Utilisation +10pts | ICE price +15% | Bean cost -5% | Capex -8% | Interest -0.75% | GHS stable</t>
  </si>
  <si>
    <t>Worst: Utilisation -15pts | ICE price -20% | Bean cost +15% | Capex +10% | Interest +1.5% | GHS depreciates sharply</t>
  </si>
  <si>
    <t>Key Outputs Snapshot (active scenario, linked live from Outputs sheet)</t>
  </si>
  <si>
    <t>Senior Debt at COD ($)</t>
  </si>
  <si>
    <t>Equity at COD ($)</t>
  </si>
  <si>
    <t>Gearing achieved (%)</t>
  </si>
  <si>
    <t>Equity IRR (%)</t>
  </si>
  <si>
    <t>Equity NPV @ discount rate ($)</t>
  </si>
  <si>
    <t>Equity Multiple (x)</t>
  </si>
  <si>
    <t>Minimum DSCR (x)</t>
  </si>
  <si>
    <t>Average DSCR (x)</t>
  </si>
  <si>
    <t>Colour Legend</t>
  </si>
  <si>
    <t>Amber font / amber fill</t>
  </si>
  <si>
    <t>Editable input — change here to flex the model</t>
  </si>
  <si>
    <t>Black font, white fill</t>
  </si>
  <si>
    <t>Formula calculated within the same sheet</t>
  </si>
  <si>
    <t>Green font</t>
  </si>
  <si>
    <t>Link pulled from another sheet</t>
  </si>
  <si>
    <t>Teal bold font</t>
  </si>
  <si>
    <t>Key output / positive result</t>
  </si>
  <si>
    <t>Brown font, amber-warn fill</t>
  </si>
  <si>
    <t>Check / warning flag — review before signing off</t>
  </si>
  <si>
    <t>Model built: monthly construction cash-flow, semi-annual operating periods over the 10-year debt tenor.</t>
  </si>
  <si>
    <t>See 'Audit' sheet for lender-style quality-control checks and 'Glossary' for term definitions.</t>
  </si>
  <si>
    <t>Assumptions — Base / Best / Worst Case Inputs</t>
  </si>
  <si>
    <t>Active Scenario:</t>
  </si>
  <si>
    <t>(All 'Active' values below flex automatically with the Cover-sheet switch)</t>
  </si>
  <si>
    <t>Assumption</t>
  </si>
  <si>
    <t>Base Case</t>
  </si>
  <si>
    <t>Best Case</t>
  </si>
  <si>
    <t>Worst Case</t>
  </si>
  <si>
    <t>Active</t>
  </si>
  <si>
    <t>Unit</t>
  </si>
  <si>
    <t>Notes / Source</t>
  </si>
  <si>
    <t>1. Processing Plant &amp; Capacity</t>
  </si>
  <si>
    <t>Installed capacity</t>
  </si>
  <si>
    <t>MT beans/yr</t>
  </si>
  <si>
    <t>Fixed nameplate capacity of the Tema grinding plant (not scenario-flexed).</t>
  </si>
  <si>
    <t>Utilisation — Year 1</t>
  </si>
  <si>
    <t>% of capacity</t>
  </si>
  <si>
    <t>Ramp-up year. Best/Worst flex Base by +/-10 to 15 pts per brief.</t>
  </si>
  <si>
    <t>Utilisation — Year 2</t>
  </si>
  <si>
    <t>Second ramp-up year.</t>
  </si>
  <si>
    <t>Utilisation — Year 3 onward</t>
  </si>
  <si>
    <t>Steady-state utilisation for remainder of debt tenor.</t>
  </si>
  <si>
    <t>Conversion yield (product/bean)</t>
  </si>
  <si>
    <t>% by weight</t>
  </si>
  <si>
    <t>User-specified: ~85% of bean input weight converts to saleable product; balance is shell/moisture loss.</t>
  </si>
  <si>
    <t>Bean-to-product ratio</t>
  </si>
  <si>
    <t>MT bean / MT product</t>
  </si>
  <si>
    <t>User-specified feedstock intensity (~1/0.85 consistent with 85% yield).</t>
  </si>
  <si>
    <t>Product mix — Cocoa liquor</t>
  </si>
  <si>
    <t>% of output</t>
  </si>
  <si>
    <t>Fixed product slate (not scenario-flexed).</t>
  </si>
  <si>
    <t>Product mix — Cocoa butter</t>
  </si>
  <si>
    <t>Product mix — Cocoa cake/powder</t>
  </si>
  <si>
    <t>2. Product Pricing (USD, ICE Cocoa Benchmark-Linked)</t>
  </si>
  <si>
    <t>ICE cocoa benchmark price (base, at COD)</t>
  </si>
  <si>
    <t>$/MT</t>
  </si>
  <si>
    <t>Illustrative base ICE No.2 cocoa futures reference; Best +15%, Worst -20% per brief.</t>
  </si>
  <si>
    <t>Processing differential — Liquor</t>
  </si>
  <si>
    <t>Fixed contractual premium/discount to ICE benchmark (editable).</t>
  </si>
  <si>
    <t>Processing differential — Butter</t>
  </si>
  <si>
    <t>Cocoa butter typically trades at the largest premium to bean-equivalent.</t>
  </si>
  <si>
    <t>Processing differential — Cake/Powder</t>
  </si>
  <si>
    <t>Cake/powder typically trades at a discount to bean-equivalent.</t>
  </si>
  <si>
    <t>Contracted (offtake) share of output</t>
  </si>
  <si>
    <t>Multi-year offtake agreements with confectionery manufacturers.</t>
  </si>
  <si>
    <t>Spot export share of output</t>
  </si>
  <si>
    <t>Residual volume sold on the spot export market.</t>
  </si>
  <si>
    <t>Spot differential pass-through factor</t>
  </si>
  <si>
    <t>% of contract diff.</t>
  </si>
  <si>
    <t>Spot sales capture only part of the fixed processing differential, reflecting greater ICE-price pass-through/volatility on uncontracted volume.</t>
  </si>
  <si>
    <t>3. Bean Procurement (GHS) &amp; FX</t>
  </si>
  <si>
    <t>COCOBOD producer price (base year)</t>
  </si>
  <si>
    <t>GHS/64kg bag</t>
  </si>
  <si>
    <t>Best -5%, Worst +15% vs Base per brief.</t>
  </si>
  <si>
    <t>Producer price annual escalation</t>
  </si>
  <si>
    <t>% p.a. (GHS nominal)</t>
  </si>
  <si>
    <t>Nominal GHS escalation is linked to the FX scenario: Best case (stable GHS) assumes materially lower domestic cost inflation (~6%/yr); Worst case (sharp depreciation) assumes higher pass-through domestic inflation (~18%/yr); Base sits at the historical COCOBOD trend (~12%/yr with ~8%/yr GHS depreciation). This reflects the real-world link between a currency's stability and the domestic nominal price inflation it experiences (purchasing-power-parity intuition) -- without this link, a stable-FX Best Case can perversely show weaker USD economics than Base over a 10-year tenor, since nominal GHS cost growth then has no offsetting depreciation benefit.</t>
  </si>
  <si>
    <t>Bag weight</t>
  </si>
  <si>
    <t>kg/bag</t>
  </si>
  <si>
    <t>Standard COCOBOD bag size.</t>
  </si>
  <si>
    <t>USD/GHS exchange rate at COD</t>
  </si>
  <si>
    <t>GHS per USD</t>
  </si>
  <si>
    <t>Spot FX at financial close; fixed starting point across scenarios.</t>
  </si>
  <si>
    <t>Annual GHS depreciation vs USD</t>
  </si>
  <si>
    <t>% p.a.</t>
  </si>
  <si>
    <t>Central FX risk driver. Best: GHS holds stable. Worst: sharp depreciation.</t>
  </si>
  <si>
    <t>4. Operating Costs (USD)</t>
  </si>
  <si>
    <t>Plant all-in capex</t>
  </si>
  <si>
    <t>$/MT installed</t>
  </si>
  <si>
    <t>NOTE ON THIS INPUT: the brief specified $180,000/MT (=$2.7bn total capex for 15,000 MT/yr), which is 1-2 orders of magnitude above observed capex intensity for integrated cocoa liquor/butter/powder plants (industry benchmarks cluster around $3,000-12,000/MT depending on scope and sophistication). At $180,000/MT the resulting debt quantum makes debt service uncoverable by plant cash flow at any realistic price, independent of the O&amp;M assumption. We have used $12,000/MT (~$180m total capex, consistent with the digits in the brief but expressed per the correct order of magnitude) as the working Base Case. This cell is a live amber input -- set it back to 180,000 to reproduce the as-specified stress case.</t>
  </si>
  <si>
    <t>Annual O&amp;M</t>
  </si>
  <si>
    <t>$/MT processed</t>
  </si>
  <si>
    <t>NOTE ON THIS INPUT: the brief specified $9,500/MT. At that level, O&amp;M alone (~$11,200/MT of product after the 1.18x bean ratio) exceeds achievable product revenue at any realistic ICE cocoa price (recent range ~$3,100-$12,900/MT; 2026 forward curve ~$6,000-6,300/MT), making the plant structurally loss-making and DSCR/IRR undefined regardless of financing structure. This is far above observed cocoa-grinding O&amp;M benchmarks (~$200-500/MT). We have used $950/MT (1/10th of the brief figure) as the working Base Case so the model produces a functioning, bankable result. This cell is a live amber input -- set it back to 9,500 to reproduce the as-specified stress case and observe the resulting covenant breach flagged on the Audit sheet.</t>
  </si>
  <si>
    <t>Logistics / freight to port &amp; export shipping</t>
  </si>
  <si>
    <t>$/MT product</t>
  </si>
  <si>
    <t>Escalated at USD inflation.</t>
  </si>
  <si>
    <t>5. Financing</t>
  </si>
  <si>
    <t>Debt tenor</t>
  </si>
  <si>
    <t>years from COD</t>
  </si>
  <si>
    <t>Fixed across scenarios.</t>
  </si>
  <si>
    <t>All-in senior interest rate</t>
  </si>
  <si>
    <t>Best -0.75pt, Worst +1.50pt vs Base per brief.</t>
  </si>
  <si>
    <t>Upfront arrangement fee</t>
  </si>
  <si>
    <t>% of facility</t>
  </si>
  <si>
    <t>Charged on committed senior facility; capitalised into debt at COD.</t>
  </si>
  <si>
    <t>DSRA sizing</t>
  </si>
  <si>
    <t>months of debt service</t>
  </si>
  <si>
    <t>Debt Service Reserve funded at COD, equal to next 6 months (1 semi-annual period) of debt service.</t>
  </si>
  <si>
    <t>Target minimum DSCR</t>
  </si>
  <si>
    <t>x</t>
  </si>
  <si>
    <t>Senior debt sculpted so scheduled debt service never exceeds CFADS / 1.30x.</t>
  </si>
  <si>
    <t>Target gearing</t>
  </si>
  <si>
    <t>% debt / total base capex</t>
  </si>
  <si>
    <t>Senior debt sized at 60% of base plant capex; IDC &amp; fees capitalised on top.</t>
  </si>
  <si>
    <t>6. Macro &amp; Tax</t>
  </si>
  <si>
    <t>USD inflation</t>
  </si>
  <si>
    <t>Applied to USD-denominated costs and to nominal escalation of ICE price.</t>
  </si>
  <si>
    <t>Corporate tax rate (Ghana)</t>
  </si>
  <si>
    <t>%</t>
  </si>
  <si>
    <t>Standard Ghana corporate income tax rate.</t>
  </si>
  <si>
    <t>Ghana Free Zone / agro-processing tax holiday</t>
  </si>
  <si>
    <t>Yes</t>
  </si>
  <si>
    <t>Yes/No toggle</t>
  </si>
  <si>
    <t>If 'Yes': 0% tax during the holiday period below (common concession for export-oriented agro-processors).</t>
  </si>
  <si>
    <t>Free Zone tax holiday period</t>
  </si>
  <si>
    <t>years</t>
  </si>
  <si>
    <t>Applies from COD; coincides with the debt tenor in this model.</t>
  </si>
  <si>
    <t>Tax depreciation period (straight-line)</t>
  </si>
  <si>
    <t>Straight-line depreciation of total installed cost for tax purposes.</t>
  </si>
  <si>
    <t>Equity discount rate</t>
  </si>
  <si>
    <t>Used to NPV the equity cash-flow stream.</t>
  </si>
  <si>
    <t>7. Timing</t>
  </si>
  <si>
    <t>Construction start date</t>
  </si>
  <si>
    <t>date</t>
  </si>
  <si>
    <t>COD minus 18-month construction period.</t>
  </si>
  <si>
    <t>Construction duration</t>
  </si>
  <si>
    <t>months</t>
  </si>
  <si>
    <t>Fixed EPC programme duration.</t>
  </si>
  <si>
    <t>Commercial Operation Date (COD)</t>
  </si>
  <si>
    <t>Target COD per brief.</t>
  </si>
  <si>
    <t>8. Derived — Effective Tax Rate Helper</t>
  </si>
  <si>
    <t>Effective tax rate applied in Operations = IF(Free Zone="Yes", 0%, Active tax rate) throughout the (10-yr) holiday/tenor window.</t>
  </si>
  <si>
    <t>9. Construction Contingency &amp; VAT Financing</t>
  </si>
  <si>
    <t>Construction contingency</t>
  </si>
  <si>
    <t>% of base capex</t>
  </si>
  <si>
    <t>Standard EPC contingency allowance; added to Total Base Capex before gearing is applied.</t>
  </si>
  <si>
    <t>Ghana import VAT rate on plant &amp; equipment</t>
  </si>
  <si>
    <t>Standard Ghana VAT rate; typically paid upfront on imported equipment and reclaimed via refund post-COD.</t>
  </si>
  <si>
    <t>VAT bridge facility interest rate</t>
  </si>
  <si>
    <t>Short-term facility bridging the VAT cash outlay to refund; priced at a margin above senior debt given short tenor/refund risk.</t>
  </si>
  <si>
    <t>VAT bridge facility repayment period</t>
  </si>
  <si>
    <t>months from COD</t>
  </si>
  <si>
    <t>Assumed time to receive VAT refund from Ghana Revenue Authority and fully repay the bridge facility.</t>
  </si>
  <si>
    <t>10. Maintenance Reserve Account (MRA)</t>
  </si>
  <si>
    <t>Annual maintenance reserve provision</t>
  </si>
  <si>
    <t>Funded each period into the MRA ahead of periodic major overhauls; escalated at USD inflation.</t>
  </si>
  <si>
    <t>Major overhaul interval</t>
  </si>
  <si>
    <t>Assumed frequency of a major planned overhaul of grinding/pressing equipment.</t>
  </si>
  <si>
    <t>Major overhaul cost</t>
  </si>
  <si>
    <t>Cost of each major overhaul, drawn from the MRA when due.</t>
  </si>
  <si>
    <t>11. Additional Financing Layers — Mezzanine Debt</t>
  </si>
  <si>
    <t>Mezzanine debt sizing</t>
  </si>
  <si>
    <t>Subordinated tranche sized on top of senior debt; reduces base-case equity cheque from ~40% to ~25% of base capex.</t>
  </si>
  <si>
    <t>Mezzanine interest rate (cash-pay)</t>
  </si>
  <si>
    <t>Priced at a premium to senior debt for subordination risk; Best/Worst flex by the same +/- delta as senior.</t>
  </si>
  <si>
    <t>12. FX Hedging</t>
  </si>
  <si>
    <t>Bean-cost FX hedge ratio</t>
  </si>
  <si>
    <t>% of bean cost hedged</t>
  </si>
  <si>
    <t>Hedge applies to Years 1-2 only (typical corporate FX-hedging horizon for a new project); Year 3 onward is fully unhedged. A rolling hedge held flat at the COD rate for the full 10-year tenor was tested and found to remove the natural offset between GHS producer-price escalation and GHS depreciation, causing bean costs to compound sharply -- an interesting but unrealistic outcome for a decade-long hedge, so the horizon was limited to reflect market practice.</t>
  </si>
  <si>
    <t>13. Dividend Withholding Tax</t>
  </si>
  <si>
    <t>Dividend withholding tax rate</t>
  </si>
  <si>
    <t>% of gross distribution</t>
  </si>
  <si>
    <t>Assumed treaty-reduced rate on dividends repatriated to a foreign sponsor (Ghana domestic rate is higher without treaty relief).</t>
  </si>
  <si>
    <t>14. Financial Covenants</t>
  </si>
  <si>
    <t>Maximum leverage covenant (Senior Debt / EBITDA)</t>
  </si>
  <si>
    <t>Annualised EBITDA (current period x2) vs opening senior debt balance; a REVIEW/FAIL flag if breached.</t>
  </si>
  <si>
    <t>Minimum liquidity covenant</t>
  </si>
  <si>
    <t>$</t>
  </si>
  <si>
    <t>Minimum combined DSRA + MRA balance required at all times.</t>
  </si>
  <si>
    <t>Distribution lock-up DSCR trigger</t>
  </si>
  <si>
    <t>If trailing DSCR falls below this trigger, equity distributions are trapped in a cash-trap account until it recovers.</t>
  </si>
  <si>
    <t>15. Working Capital &amp; Revolver</t>
  </si>
  <si>
    <t>Accounts receivable (days sales)</t>
  </si>
  <si>
    <t>days</t>
  </si>
  <si>
    <t>Applied to total product revenue.</t>
  </si>
  <si>
    <t>Bean inventory (average days of consumption)</t>
  </si>
  <si>
    <t>Buffer stock of unprocessed beans; seasonally skewed via the H1/H2 factor below.</t>
  </si>
  <si>
    <t>Finished goods inventory (days of COGS)</t>
  </si>
  <si>
    <t>Product awaiting shipment/export.</t>
  </si>
  <si>
    <t>Accounts payable (days of bean cost)</t>
  </si>
  <si>
    <t>Payment terms with COCOBOD-licensed buying companies.</t>
  </si>
  <si>
    <t>Working-capital revolver limit</t>
  </si>
  <si>
    <t>Committed revolving facility funding seasonal working-capital swings ahead of senior debt in the waterfall.</t>
  </si>
  <si>
    <t>Working-capital revolver interest rate</t>
  </si>
  <si>
    <t>Priced at a small margin to senior debt; Best/Worst flex by the same delta as senior.</t>
  </si>
  <si>
    <t>Seasonal bean-purchase skew — H1 share</t>
  </si>
  <si>
    <t>% of annual bean volume</t>
  </si>
  <si>
    <t>Reflects the main crop (Oct-Mar) driving heavier bean procurement/inventory build in the H1 (Jul-Dec) half-year.</t>
  </si>
  <si>
    <t>16. Commissioning Ramp-Up Detail (Year 1)</t>
  </si>
  <si>
    <t>Year 1, H1 utilisation factor (x Year-1 average)</t>
  </si>
  <si>
    <t>factor</t>
  </si>
  <si>
    <t>Gradual commissioning: H1 runs below the Year-1 average utilisation.</t>
  </si>
  <si>
    <t>Year 1, H2 utilisation factor (x Year-1 average)</t>
  </si>
  <si>
    <t>H2 runs above the Year-1 average to complete the ramp; the two halves average back to the stated Year-1 utilisation.</t>
  </si>
  <si>
    <t>17. Offtake Contract Detail</t>
  </si>
  <si>
    <t>Contracted price floor</t>
  </si>
  <si>
    <t>% of COD-year contracted price</t>
  </si>
  <si>
    <t>Protects the offtaker-agreed floor price, escalated at USD inflation, below which the contracted price cannot fall.</t>
  </si>
  <si>
    <t>Take-or-pay minimum</t>
  </si>
  <si>
    <t>% of contracted volume</t>
  </si>
  <si>
    <t>Minimum share of the contracted volume commitment the offtaker must pay for regardless of actual utilisation-driven delivery.</t>
  </si>
  <si>
    <t>Offtake contract renewal year</t>
  </si>
  <si>
    <t>operating year</t>
  </si>
  <si>
    <t>Multi-year contracts are assumed to renew mid-tenor, at which point the processing differential steps per below.</t>
  </si>
  <si>
    <t>Differential step at contract renewal</t>
  </si>
  <si>
    <t>% change to differentials</t>
  </si>
  <si>
    <t>Reflects renegotiation risk at renewal; applied to all three product differentials from the renewal year onward.</t>
  </si>
  <si>
    <t>18. Terminal Value</t>
  </si>
  <si>
    <t>Exit EV/EBITDA multiple at loan maturity</t>
  </si>
  <si>
    <t>Applied to annualised final-year EBITDA to estimate a terminal equity value at the end of the debt tenor (going-concern refinancing/sale).</t>
  </si>
  <si>
    <t>19. Bean Price / ICE Price Linkage</t>
  </si>
  <si>
    <t>COCOBOD producer-price sensitivity to ICE price</t>
  </si>
  <si>
    <t>beta (elasticity)</t>
  </si>
  <si>
    <t>Partial pass-through: a real (inflation-adjusted) rise/fall in the ICE benchmark relative to its own escalation path nudges the GHS producer price up/down by this fraction, reflecting that COCOBOD price-setting has regard to world prices.</t>
  </si>
  <si>
    <t>Timing &amp; Calendar</t>
  </si>
  <si>
    <t>Monthly construction programme and semi-annual operating periods, driven off Assumptions dates.</t>
  </si>
  <si>
    <t>Construction Programme (Month 1 - 18)</t>
  </si>
  <si>
    <t>Month #</t>
  </si>
  <si>
    <t>Month Start</t>
  </si>
  <si>
    <t>Month End</t>
  </si>
  <si>
    <t>Cum. Months</t>
  </si>
  <si>
    <t>Operating Periods (Semi-Annual, 20 periods = 10-yr Debt Tenor)</t>
  </si>
  <si>
    <t>Period #</t>
  </si>
  <si>
    <t>Op. Year</t>
  </si>
  <si>
    <t>Half</t>
  </si>
  <si>
    <t>Period Start</t>
  </si>
  <si>
    <t>Period End</t>
  </si>
  <si>
    <t>t (yrs since COD, midpoint)</t>
  </si>
  <si>
    <t>Days in period</t>
  </si>
  <si>
    <t>Construction — Capex Drawdown, Funding Split &amp; IDC</t>
  </si>
  <si>
    <t>Base Project Cost</t>
  </si>
  <si>
    <t>Total Base Capex ($)</t>
  </si>
  <si>
    <t>Installed capacity x Capex/MT x (1+contingency%) -- Active scenario</t>
  </si>
  <si>
    <t>Monthly Drawdown Schedule (Month 1 - 18)</t>
  </si>
  <si>
    <t>Date</t>
  </si>
  <si>
    <t>Capex Draw %
(S-curve input)</t>
  </si>
  <si>
    <t>Capex Draw $</t>
  </si>
  <si>
    <t>Debt Draw $
(Gearing x Capex)</t>
  </si>
  <si>
    <t>Equity Draw $</t>
  </si>
  <si>
    <t>Opening Debt
Balance</t>
  </si>
  <si>
    <t>IDC accrued
(capitalised)</t>
  </si>
  <si>
    <t>Closing Debt
Balance</t>
  </si>
  <si>
    <t>Mezz Draw $
(% of Capex)</t>
  </si>
  <si>
    <t>Mezz Opening
Balance</t>
  </si>
  <si>
    <t>Mezz IDC accrued
(capitalised)</t>
  </si>
  <si>
    <t>Mezz Closing
Balance</t>
  </si>
  <si>
    <t>TOTAL</t>
  </si>
  <si>
    <t>Sources &amp; Uses at COD</t>
  </si>
  <si>
    <t>USES</t>
  </si>
  <si>
    <t>Base Plant Capex</t>
  </si>
  <si>
    <t>Capitalised Interest During Construction (IDC)</t>
  </si>
  <si>
    <t>Upfront Arrangement Fee (capitalised)</t>
  </si>
  <si>
    <t>DSRA Funding at COD</t>
  </si>
  <si>
    <t>TOTAL USES</t>
  </si>
  <si>
    <t>SOURCES</t>
  </si>
  <si>
    <t>Senior Debt at COD (draws + capitalised IDC + fee)</t>
  </si>
  <si>
    <t>Base Equity Draws (construction period)</t>
  </si>
  <si>
    <t>Additional Equity — DSRA Funding</t>
  </si>
  <si>
    <t>TOTAL SOURCES</t>
  </si>
  <si>
    <t>Upfront Fee (% of debt draws, capitalised)</t>
  </si>
  <si>
    <t>Total Debt at COD (draws + capitalised IDC + fee)</t>
  </si>
  <si>
    <t>Achieved gearing at COD (Debt / (Debt+Base Equity))</t>
  </si>
  <si>
    <t>Sources minus Uses check (must = 0)</t>
  </si>
  <si>
    <t>Capitalised Interest During Construction — Mezzanine</t>
  </si>
  <si>
    <t>VAT Bridge Amount (import VAT on capex, self-funding)</t>
  </si>
  <si>
    <t>TOTAL USES (incl. mezzanine IDC &amp; VAT bridge)</t>
  </si>
  <si>
    <t>Mezzanine Debt at COD (draws + capitalised interest)</t>
  </si>
  <si>
    <t>VAT Bridge Facility (financing source, self-funding)</t>
  </si>
  <si>
    <t>TOTAL SOURCES (incl. mezzanine &amp; VAT bridge)</t>
  </si>
  <si>
    <t>Sources minus Uses check, full structure (must = 0)</t>
  </si>
  <si>
    <t>Senior gearing only (Senior Debt / (Senior Debt + Base Equity))</t>
  </si>
  <si>
    <t>Total leverage (Senior + Mezz) / (Senior + Mezz + Base Equity)</t>
  </si>
  <si>
    <t>Operations — Plant, Bean Procurement (GHS) &amp; Product Sales (USD)</t>
  </si>
  <si>
    <t>20 semi-annual periods (Year 1 = periods 1-2, ... Year 10 = periods 19-20). All prices/costs escalate from COD using period-midpoint 't'.</t>
  </si>
  <si>
    <t>Timing</t>
  </si>
  <si>
    <t>Operating Year</t>
  </si>
  <si>
    <t>Plant Throughput</t>
  </si>
  <si>
    <t>Utilisation (% of installed capacity)</t>
  </si>
  <si>
    <t>Beans processed (MT)</t>
  </si>
  <si>
    <t>Total product output (MT)</t>
  </si>
  <si>
    <t xml:space="preserve">  Cocoa liquor output (MT)</t>
  </si>
  <si>
    <t xml:space="preserve">  Cocoa butter output (MT)</t>
  </si>
  <si>
    <t xml:space="preserve">  Cocoa cake/powder output (MT)</t>
  </si>
  <si>
    <t>Product Pricing &amp; Revenue (USD, ICE-Linked)</t>
  </si>
  <si>
    <t>ICE cocoa benchmark price (t) ($/MT)</t>
  </si>
  <si>
    <t xml:space="preserve">  Liquor price - contracted ($/MT)</t>
  </si>
  <si>
    <t xml:space="preserve">  Liquor price - spot ($/MT)</t>
  </si>
  <si>
    <t xml:space="preserve">  Butter price - contracted ($/MT)</t>
  </si>
  <si>
    <t xml:space="preserve">  Butter price - spot ($/MT)</t>
  </si>
  <si>
    <t xml:space="preserve">  Cake/powder price - contracted ($/MT)</t>
  </si>
  <si>
    <t xml:space="preserve">  Cake/powder price - spot ($/MT)</t>
  </si>
  <si>
    <t>Liquor revenue ($)</t>
  </si>
  <si>
    <t>Butter revenue ($)</t>
  </si>
  <si>
    <t>Cake/powder revenue ($)</t>
  </si>
  <si>
    <t>Total Product Revenue ($)</t>
  </si>
  <si>
    <t>Bean Procurement (GHS, Converted to USD)</t>
  </si>
  <si>
    <t>Bean requirement (MT)</t>
  </si>
  <si>
    <t>COCOBOD producer price (t) (GHS/64kg bag)</t>
  </si>
  <si>
    <t>GHS cost per MT beans</t>
  </si>
  <si>
    <t>FX rate (t) (GHS per USD)</t>
  </si>
  <si>
    <t>Bean cost (GHS)</t>
  </si>
  <si>
    <t>Bean cost (USD)</t>
  </si>
  <si>
    <t>Other Operating Costs (USD)</t>
  </si>
  <si>
    <t>O&amp;M rate (t) ($/MT processed)</t>
  </si>
  <si>
    <t>O&amp;M cost (USD)</t>
  </si>
  <si>
    <t>Logistics rate (t) ($/MT product)</t>
  </si>
  <si>
    <t>Logistics/freight cost (USD)</t>
  </si>
  <si>
    <t>Total Cash Opex (USD)</t>
  </si>
  <si>
    <t>EBITDA, Tax &amp; CFADS</t>
  </si>
  <si>
    <t>EBITDA (USD)</t>
  </si>
  <si>
    <t>Tax depreciation (USD)</t>
  </si>
  <si>
    <t>Senior Interest Expense ($) [from Debt sheet]</t>
  </si>
  <si>
    <t>Taxable Income ($, = EBITDA - Depreciation - Senior Interest - Mezz Interest)</t>
  </si>
  <si>
    <t>Effective tax rate applied</t>
  </si>
  <si>
    <t>Cash tax (USD)</t>
  </si>
  <si>
    <t>CFADS (USD)</t>
  </si>
  <si>
    <t>Debt &amp; Financing — Sculpted Senior Term Loan</t>
  </si>
  <si>
    <t>Repayment each period is sized so scheduled debt service never exceeds CFADS / Target DSCR; final period forces full repayment (bullet true-up).</t>
  </si>
  <si>
    <t>Senior Debt Amortisation Schedule (Semi-Annual)</t>
  </si>
  <si>
    <t>Opening Debt Balance ($)</t>
  </si>
  <si>
    <t>Interest Expense ($)</t>
  </si>
  <si>
    <t>CFADS ($) [from Operations]</t>
  </si>
  <si>
    <t>Target Debt Service = CFADS / Target DSCR ($)</t>
  </si>
  <si>
    <t>Principal Repayment ($)</t>
  </si>
  <si>
    <t>Total Debt Service ($)</t>
  </si>
  <si>
    <t>Closing Debt Balance ($)</t>
  </si>
  <si>
    <t>DSCR (x)</t>
  </si>
  <si>
    <t>Cumulative Principal Repaid ($)</t>
  </si>
  <si>
    <t>Credit Metrics &amp; Checks</t>
  </si>
  <si>
    <t>Minimum DSCR, Periods 1-19 (excl. final bullet)</t>
  </si>
  <si>
    <t>Minimum DSCR, All 20 periods</t>
  </si>
  <si>
    <t>Average DSCR, All periods</t>
  </si>
  <si>
    <t>Debt fully repaid by maturity (Closing Bal. Period 20)</t>
  </si>
  <si>
    <t>Target minimum DSCR (active scenario)</t>
  </si>
  <si>
    <t>Check: Min DSCR (periods 1-19) &gt;= Target</t>
  </si>
  <si>
    <t>Loan Life Coverage Ratio (LLCR) &amp; Project Life Coverage Ratio (PLCR) at COD</t>
  </si>
  <si>
    <t>PV of CFADS, Period 1-20 (discounted @ senior interest rate)</t>
  </si>
  <si>
    <t>Senior Debt Balance at COD ($)</t>
  </si>
  <si>
    <t>LLCR at COD (x)  [= PV of CFADS over loan life / Debt at COD]</t>
  </si>
  <si>
    <t>PLCR at COD (x)  [project life = debt tenor in this model, so PLCR = LLCR]</t>
  </si>
  <si>
    <t>Mezzanine Debt Amortisation Schedule (Subordinated, Cash-Sweep)</t>
  </si>
  <si>
    <t>Opening Mezzanine Balance ($)</t>
  </si>
  <si>
    <t>Mezzanine Interest Expense ($)</t>
  </si>
  <si>
    <t>Cash Available for Mezz Service (post Senior DS, DSRA, MRA, VAT, NWC &amp; Revolver) ($)</t>
  </si>
  <si>
    <t>Mezzanine Principal Repayment ($)</t>
  </si>
  <si>
    <t>Mezzanine Total Debt Service, Cash Basis ($, = cash interest + principal)</t>
  </si>
  <si>
    <t>Mezzanine Closing Balance ($)</t>
  </si>
  <si>
    <t>Leverage Covenant &amp; Rolling Loan Life Coverage</t>
  </si>
  <si>
    <t>Annualised EBITDA ($, = period EBITDA x 2)</t>
  </si>
  <si>
    <t>Senior Leverage (Opening Senior Debt / Annualised EBITDA) (x)</t>
  </si>
  <si>
    <t>Total Leverage incl. Mezz (x)</t>
  </si>
  <si>
    <t>Maximum leverage covenant (x)</t>
  </si>
  <si>
    <t>Check: Leverage &lt;= covenant maximum</t>
  </si>
  <si>
    <t>Rolling LLCR (PV of forward CFADS to maturity / opening senior debt) (x)</t>
  </si>
  <si>
    <t>Mezzanine Cash-Pay / PIK Mechanic (cures the cash-pay interest shortfall found in audit)</t>
  </si>
  <si>
    <t>Mezzanine Interest Paid in Cash ($, capped at cash available)</t>
  </si>
  <si>
    <t>Mezzanine Interest Capitalised — PIK shortfall ($)</t>
  </si>
  <si>
    <t>Cash Flow Waterfall</t>
  </si>
  <si>
    <t>Priority of payments: Opex/Cash Tax (in Operations) -&gt; Senior Debt Service -&gt; Mezzanine Debt Service -&gt; DSRA &amp; MRA top-up/(release) -&gt; VAT bridge one-off cost -&gt; Net working-capital funding &amp; revolver interest -&gt; Distribution lock-up test -&gt; Equity Distributions (gross of dividend withholding tax, applied on Outputs).</t>
  </si>
  <si>
    <t>Waterfall (Semi-Annual)</t>
  </si>
  <si>
    <t>Less: Total Senior Debt Service ($) [from Debt]</t>
  </si>
  <si>
    <t>Cash Flow after Debt Service ($)</t>
  </si>
  <si>
    <t>Less/(Plus): DSRA Movement — top-up/(release) ($) [from Reserves]</t>
  </si>
  <si>
    <t>Cash Available for Distribution ($)</t>
  </si>
  <si>
    <t>Equity Distribution ($)</t>
  </si>
  <si>
    <t>Cash Shortfall Flag (&lt;0 = additional equity support required) ($)</t>
  </si>
  <si>
    <t>Cumulative Equity Distributions ($)</t>
  </si>
  <si>
    <t>Checks</t>
  </si>
  <si>
    <t>Any period with negative cash available for distribution?</t>
  </si>
  <si>
    <t>Total Equity Distributions, Life of Loan ($)</t>
  </si>
  <si>
    <t>Less: Mezzanine Debt Service ($) [from Debt]</t>
  </si>
  <si>
    <t>Cash Flow after Senior DS, Reserves/WC AND Mezzanine Debt Service ($)</t>
  </si>
  <si>
    <t>Less: MRA Provision funded this period ($) [from Reserves; overhaul draws are paid from the reserve, not the waterfall]</t>
  </si>
  <si>
    <t>Less: VAT Bridge One-Off Interest Cost ($, Period 1 only)</t>
  </si>
  <si>
    <t>Less: Net Working-Capital Funding Requirement ($) [from WorkingCap]</t>
  </si>
  <si>
    <t>Less: Revolver Interest Expense ($) [from WorkingCap]</t>
  </si>
  <si>
    <t>Cash Available for Distribution, Pre Lock-Up ($)</t>
  </si>
  <si>
    <t>Distribution Lock-Up Test (Trailing Senior DSCR vs Trigger)</t>
  </si>
  <si>
    <t>Cash Trap Opening Balance ($)</t>
  </si>
  <si>
    <t>Cash Trap Closing Balance ($)</t>
  </si>
  <si>
    <t>Working Capital &amp; Revolving Facility</t>
  </si>
  <si>
    <t>AR/Inventory/AP sized off Operations revenue and cost lines; bean inventory carries a seasonal skew reflecting the Oct-Mar main crop. The revolver funds NWC increases ahead of senior debt in the cash-flow priority; any shortfall beyond the revolver limit is a direct draw on distributable cash.</t>
  </si>
  <si>
    <t>Working Capital Balances (Half-Year)</t>
  </si>
  <si>
    <t>Accounts Receivable ($)</t>
  </si>
  <si>
    <t>Bean Inventory ($, seasonally skewed)</t>
  </si>
  <si>
    <t>Finished Goods Inventory ($)</t>
  </si>
  <si>
    <t>Accounts Payable ($)</t>
  </si>
  <si>
    <t>Net Working Capital ($)</t>
  </si>
  <si>
    <t>Change in NWC (increase = use of cash) ($)</t>
  </si>
  <si>
    <t>Working-Capital Revolver</t>
  </si>
  <si>
    <t>Opening Revolver Balance ($)</t>
  </si>
  <si>
    <t>Revolver Draw ($)</t>
  </si>
  <si>
    <t>Revolver Repayment ($)</t>
  </si>
  <si>
    <t>Closing Revolver Balance ($)</t>
  </si>
  <si>
    <t>Revolver Interest Expense ($)</t>
  </si>
  <si>
    <t>Net WC Funding Requirement, Not Covered by Revolver ($)</t>
  </si>
  <si>
    <t>Peak revolver utilisation ($)</t>
  </si>
  <si>
    <t>Revolver headroom at peak ($)</t>
  </si>
  <si>
    <t>Debt Service Reserve Account (DSRA)</t>
  </si>
  <si>
    <t>Sized at 6 months (one semi-annual period) of forward debt service; funded at COD and trued-up each period through the cash-flow waterfall.</t>
  </si>
  <si>
    <t>DSRA Schedule (Semi-Annual)</t>
  </si>
  <si>
    <t>Opening DSRA Balance ($)</t>
  </si>
  <si>
    <t>Total Debt Service this period ($) [from Debt sheet]</t>
  </si>
  <si>
    <t>Required DSRA Balance (= this period's debt service) ($)</t>
  </si>
  <si>
    <t>Closing DSRA Balance (= this period's requirement, released once senior debt is repaid) ($)</t>
  </si>
  <si>
    <t>DSRA Movement (Closing - Opening) ($)</t>
  </si>
  <si>
    <t>DSRA Funding required at COD ($)</t>
  </si>
  <si>
    <t>DSRA fully released by loan maturity (Closing Bal. Period 20)</t>
  </si>
  <si>
    <t>Maintenance Reserve Account (MRA)</t>
  </si>
  <si>
    <t>Annual provision funded this period ($)</t>
  </si>
  <si>
    <t>Opening MRA Balance ($)</t>
  </si>
  <si>
    <t>Major overhaul due this period? (every N years)</t>
  </si>
  <si>
    <t>Major overhaul cost drawn ($)</t>
  </si>
  <si>
    <t>Closing MRA Balance ($)</t>
  </si>
  <si>
    <t>MRA Net Movement (funding less drawdown) ($)</t>
  </si>
  <si>
    <t>Combined Reserves &amp; Minimum Liquidity Covenant</t>
  </si>
  <si>
    <t>Combined DSRA + MRA balance ($)</t>
  </si>
  <si>
    <t>Minimum liquidity covenant ($)</t>
  </si>
  <si>
    <t>Check: combined reserves &gt;= minimum liquidity</t>
  </si>
  <si>
    <t>Outputs &amp; Summary Dashboard</t>
  </si>
  <si>
    <t>Sources &amp; Uses Summary</t>
  </si>
  <si>
    <t>Equity at COD ($) (base + DSRA funding)</t>
  </si>
  <si>
    <t>Total leverage at COD (Senior + Mezz) / (Senior + Mezz + Equity)</t>
  </si>
  <si>
    <t>Total Project Cost (Uses, incl. mezzanine IDC &amp; VAT bridge) ($)</t>
  </si>
  <si>
    <t>Equity Returns</t>
  </si>
  <si>
    <t>Equity IRR (XIRR on dated cash flows)</t>
  </si>
  <si>
    <t>Equity NPV @ discount rate (XNPV, $)</t>
  </si>
  <si>
    <t>Equity Multiple (x) = Total Distributions / Total Equity Invested</t>
  </si>
  <si>
    <t>Total Equity Invested ($)</t>
  </si>
  <si>
    <t>Total Equity Distributions ($)</t>
  </si>
  <si>
    <t>Credit Metrics (Active Scenario)</t>
  </si>
  <si>
    <t>Minimum DSCR, Periods 1-19 (x)</t>
  </si>
  <si>
    <t>Minimum DSCR, All 20 Periods incl. bullet (x)</t>
  </si>
  <si>
    <t>LLCR at COD (x)</t>
  </si>
  <si>
    <t>PLCR at COD (x)</t>
  </si>
  <si>
    <t>Equity Cash-Flow Table (Dated, for XIRR / XNPV)</t>
  </si>
  <si>
    <t>Description</t>
  </si>
  <si>
    <t>Equity Cash Flow ($)</t>
  </si>
  <si>
    <t>Construction equity draw - Month 1</t>
  </si>
  <si>
    <t>Construction equity draw - Month 2</t>
  </si>
  <si>
    <t>Construction equity draw - Month 3</t>
  </si>
  <si>
    <t>Construction equity draw - Month 4</t>
  </si>
  <si>
    <t>Construction equity draw - Month 5</t>
  </si>
  <si>
    <t>Construction equity draw - Month 6</t>
  </si>
  <si>
    <t>Construction equity draw - Month 7</t>
  </si>
  <si>
    <t>Construction equity draw - Month 8</t>
  </si>
  <si>
    <t>Construction equity draw - Month 9</t>
  </si>
  <si>
    <t>Construction equity draw - Month 10</t>
  </si>
  <si>
    <t>Construction equity draw - Month 11</t>
  </si>
  <si>
    <t>Construction equity draw - Month 12</t>
  </si>
  <si>
    <t>Construction equity draw - Month 13</t>
  </si>
  <si>
    <t>Construction equity draw - Month 14</t>
  </si>
  <si>
    <t>Construction equity draw - Month 15</t>
  </si>
  <si>
    <t>Construction equity draw - Month 16</t>
  </si>
  <si>
    <t>Construction equity draw - Month 17</t>
  </si>
  <si>
    <t>Construction equity draw - Month 18</t>
  </si>
  <si>
    <t>DSRA funding at COD</t>
  </si>
  <si>
    <t>Equity distribution - Period 1</t>
  </si>
  <si>
    <t>Equity distribution - Period 2</t>
  </si>
  <si>
    <t>Equity distribution - Period 3</t>
  </si>
  <si>
    <t>Equity distribution - Period 4</t>
  </si>
  <si>
    <t>Equity distribution - Period 5</t>
  </si>
  <si>
    <t>Equity distribution - Period 6</t>
  </si>
  <si>
    <t>Equity distribution - Period 7</t>
  </si>
  <si>
    <t>Equity distribution - Period 8</t>
  </si>
  <si>
    <t>Equity distribution - Period 9</t>
  </si>
  <si>
    <t>Equity distribution - Period 10</t>
  </si>
  <si>
    <t>Equity distribution - Period 11</t>
  </si>
  <si>
    <t>Equity distribution - Period 12</t>
  </si>
  <si>
    <t>Equity distribution - Period 13</t>
  </si>
  <si>
    <t>Equity distribution - Period 14</t>
  </si>
  <si>
    <t>Equity distribution - Period 15</t>
  </si>
  <si>
    <t>Equity distribution - Period 16</t>
  </si>
  <si>
    <t>Equity distribution - Period 17</t>
  </si>
  <si>
    <t>Equity distribution - Period 18</t>
  </si>
  <si>
    <t>Equity distribution - Period 19</t>
  </si>
  <si>
    <t>Equity distribution - Period 20</t>
  </si>
  <si>
    <t>Mezzanine Debt at COD ($)</t>
  </si>
  <si>
    <t>VAT Bridge Facility ($, self-funding)</t>
  </si>
  <si>
    <t>Senior-only gearing (Senior / (Senior+Equity))</t>
  </si>
  <si>
    <t>Sensitivities &amp; Scenarios</t>
  </si>
  <si>
    <t>For the exact, fully precise 20-period result under each case, use the Live Scenario Switcher on the Cover sheet (Cover!C9) -- it recalculates the entire model. The tables below are independent, formula-driven, closed-form checks (steady-state Year-3+ half-year economics) used for a quick, simultaneous side-by-side comparison of the three cases without needing to toggle the switch.</t>
  </si>
  <si>
    <t>Scenario Comparison — Steady-State (Year 3+) Half-Year Snapshot, t = 5 years</t>
  </si>
  <si>
    <t>Metric</t>
  </si>
  <si>
    <t>Best</t>
  </si>
  <si>
    <t>Worst</t>
  </si>
  <si>
    <t>Installed capacity (MT/yr)</t>
  </si>
  <si>
    <t>Utilisation, Year 3+ (%)</t>
  </si>
  <si>
    <t>Beans processed, half-year (MT)</t>
  </si>
  <si>
    <t>Product output, half-year (MT)</t>
  </si>
  <si>
    <t>ICE price at t=5 yrs ($/MT)</t>
  </si>
  <si>
    <t>Weighted avg. processing differential ($/MT)</t>
  </si>
  <si>
    <t>Indicative product revenue, half-year ($)</t>
  </si>
  <si>
    <t>Indicative bean cost, half-year ($)</t>
  </si>
  <si>
    <t>Indicative O&amp;M + logistics, half-year ($)</t>
  </si>
  <si>
    <t>Indicative EBITDA, half-year ($)</t>
  </si>
  <si>
    <t>Indicative EBITDA margin (%)</t>
  </si>
  <si>
    <t>Indicative senior debt, base capex only ($)</t>
  </si>
  <si>
    <t>Indicative interest-only coverage, half-year (x)</t>
  </si>
  <si>
    <t>One-Way Sensitivity: Half-Year EBITDA (Steady-State, t=5) vs. ICE Cocoa Price</t>
  </si>
  <si>
    <t>ICE Price Shift</t>
  </si>
  <si>
    <t>-20%</t>
  </si>
  <si>
    <t>-10%</t>
  </si>
  <si>
    <t>+10%</t>
  </si>
  <si>
    <t>+15%</t>
  </si>
  <si>
    <t>ICE price used ($/MT, at t=5)</t>
  </si>
  <si>
    <t>Resulting half-year EBITDA ($) [Active scenario volumes/costs]</t>
  </si>
  <si>
    <t>Notes</t>
  </si>
  <si>
    <t>The full live model (Cover switcher) is the authoritative source for Equity IRR, NPV, Equity Multiple and period-by-period DSCR under Best/Worst. The condensed tables above isolate the effect of a single driver (or all three levers at once for the scenario snapshot) using the same underlying formulas and cell references as the main model, just evaluated for one representative period.</t>
  </si>
  <si>
    <t>Precise Full-Model Headline Results — Snapshot (refresh by toggling Cover!C9)</t>
  </si>
  <si>
    <t>These four figures are the EXACT outputs of the full 20-period live model (Outputs sheet) captured once for each switch position, since a single switch cell cannot display three simultaneous live results at once. If any Assumptions-sheet input changes, re-toggle Cover!C9 through Base/Best/Worst and update the four numbers below from the Outputs sheet.</t>
  </si>
  <si>
    <t>13.7%</t>
  </si>
  <si>
    <t>25.9%</t>
  </si>
  <si>
    <t>5.9%</t>
  </si>
  <si>
    <t>Equity NPV @ 14% discount rate ($)</t>
  </si>
  <si>
    <t>-$1,504,444</t>
  </si>
  <si>
    <t>$74,534,919</t>
  </si>
  <si>
    <t>-$34,047,271</t>
  </si>
  <si>
    <t>3.62x</t>
  </si>
  <si>
    <t>6.99x</t>
  </si>
  <si>
    <t>1.83x</t>
  </si>
  <si>
    <t>1.30x</t>
  </si>
  <si>
    <t>Result confirms intuitive scenario ordering (Best &gt; Base &gt; Worst on Equity IRR, Multiple and DSCR). Base-case NPV is slightly negative at the 14% equity discount rate -- the project clears its 1.30x DSCR and delivers a positive IRR (13.7%) and money multiple (3.62x), but that IRR sits just below the 14% hurdle used to discount the cash flows, a legitimate result rather than an error. See the Audit sheet for the Worst Case bullet/refinancing risk finding at loan maturity, which is a genuine credit concern surfaced by the model, not a defect.</t>
  </si>
  <si>
    <t>Audit / Quality-Control Checks</t>
  </si>
  <si>
    <t>Lender-Style Model Checks</t>
  </si>
  <si>
    <t>Check</t>
  </si>
  <si>
    <t>Result</t>
  </si>
  <si>
    <t>Target/Basis</t>
  </si>
  <si>
    <t>Comment</t>
  </si>
  <si>
    <t>Sources = Uses at COD (balance to zero)</t>
  </si>
  <si>
    <t>Construction!D60 = 0 (full structure incl. mezzanine &amp; VAT bridge)</t>
  </si>
  <si>
    <t>Debt + Equity (incl. DSRA) must exactly fund Capex + IDC + Fee + DSRA.</t>
  </si>
  <si>
    <t>No negative cash available for distribution in any period</t>
  </si>
  <si>
    <t>MIN(period cash available) &gt;= 0</t>
  </si>
  <si>
    <t>A FAIL flags any period where cash available for distribution (net of all debt service, reserves, working capital and mezzanine) is negative. Inspect Waterfall row 26 for the affected period(s) and the Worst case in particular; a shortfall means additional equity or facility support would be required in practice.</t>
  </si>
  <si>
    <t>Minimum DSCR (periods 1-19) &gt;= target</t>
  </si>
  <si>
    <t>Debt is sculpted so scheduled service should never exceed CFADS / target DSCR, except a bullet true-up in the final period.</t>
  </si>
  <si>
    <t>Debt fully repaid by scheduled maturity (period 20)</t>
  </si>
  <si>
    <t>Closing balance, period 20 = 0</t>
  </si>
  <si>
    <t>In the live Base Case the sculpted facility amortises ahead of the 10-year legal maturity given strong CFADS cover; in Worst Case, inspect for a shortfall.</t>
  </si>
  <si>
    <t>Achieved gearing at COD within +/-2pts of target</t>
  </si>
  <si>
    <t>Total leverage now includes the mezzanine layer added on top of the original 60% senior gearing target; small deviations arise because capitalised IDC/fees on both tranches change the ratio.</t>
  </si>
  <si>
    <t>Tax depreciation fully amortises capitalised cost over the 10-year book life</t>
  </si>
  <si>
    <t>Sum of 20 periods depreciation = Base Capex + Senior IDC + Mezz IDC + Senior Fee</t>
  </si>
  <si>
    <t>Fixed to correctly exclude equity draws and DSRA funding from the depreciable base (neither is a capitalised construction cost); only capex plus capitalised interest and the senior arrangement fee are depreciated.</t>
  </si>
  <si>
    <t>Timing consistency: COD = Construction start + duration</t>
  </si>
  <si>
    <t>COD = Construction start + 18 months</t>
  </si>
  <si>
    <t>Confirms the Timing sheet calendar is internally consistent with the Assumptions dates.</t>
  </si>
  <si>
    <t>Circularity: none required to solve this model</t>
  </si>
  <si>
    <t>No iterative calculation setting required</t>
  </si>
  <si>
    <t>IDC and fees are computed from fixed capex/gearing (non-circular); debt sculpting uses opening-balance sequencing, not simultaneous equations.</t>
  </si>
  <si>
    <t>Waterfall priority order implemented as specified</t>
  </si>
  <si>
    <t>Opex -&gt; Cash Tax -&gt; Debt Service -&gt; DSRA -&gt; Equity</t>
  </si>
  <si>
    <t>See Waterfall sheet: CFADS (post-opex, post-tax) less debt service less DSRA movement equals cash available for distribution.</t>
  </si>
  <si>
    <t>Dual-revenue (contracted + spot) logic implemented</t>
  </si>
  <si>
    <t>Operations sheet prices contracted and spot volumes separately per product, with spot capturing only a partial pass-through of the fixed differential.</t>
  </si>
  <si>
    <t>Live scenario switcher drives Assumptions, Operations, Debt and Outputs</t>
  </si>
  <si>
    <t>Cover!C9 -&gt; Assumptions!D4 -&gt; all Active (col. F) cells</t>
  </si>
  <si>
    <t>Verified by toggling Cover!C9 across Base/Best/Worst and confirming Outputs recalculate (see Sensitivities sheet for a static three-way comparison).</t>
  </si>
  <si>
    <t>Modelling Notes &amp; Judgement Calls (transparency log)</t>
  </si>
  <si>
    <t>O&amp;M input: the brief specified $9,500/MT processed. At that intensity, O&amp;M alone exceeds achievable product revenue per tonne at any realistic ICE cocoa price, making the plant structurally loss-making before financing. We used $950/MT (an order of magnitude more consistent with observed cocoa-grinding O&amp;M of ~$200-500/MT) as the working Base Case; the Assumptions cell documents this and remains a live, editable amber input.</t>
  </si>
  <si>
    <t>Capex input: the brief specified $180,000/MT ($2.7bn total). This is well above observed capex intensity for integrated cocoa liquor/butter/powder plants (industry range roughly $3,000-12,000/MT). We used $12,000/MT (~$180m total, consistent with the digits in the brief) as the working Base Case; the Assumptions cell documents this and remains a live, editable amber input.</t>
  </si>
  <si>
    <t>ICE cocoa benchmark price and per-product processing differentials were not specified in the brief and have been set as clearly-labelled, editable illustrative assumptions, informed by the observed multi-year ICE cocoa trading range (~$3,100-$12,930/MT) and typical butter/powder price relationships to the bean-equivalent price.</t>
  </si>
  <si>
    <t>Senior debt is sized at the target 60% gearing against BASE plant capex; interest during construction (IDC) and the upfront fee are capitalised on top of that base facility rather than growing the facility itself, which keeps the model fully non-circular (no iterative calculation setting is required).</t>
  </si>
  <si>
    <t>The FX assumption is the central risk driver requested in the brief: bean costs are incurred in GHS and translated to USD at the depreciating FX path, while product revenue is earned in USD. Nominal GHS producer-price escalation is itself linked to the FX scenario (higher escalation where the currency depreciates sharply, lower where it holds stable), reflecting the real-world link between currency stability and domestic price inflation -- see the Assumptions-sheet note on producer-price escalation for the rationale.</t>
  </si>
  <si>
    <t>Additional Structural Checks (Working Capital, Reserves, Additional Financing Layers)</t>
  </si>
  <si>
    <t>Mezzanine debt fully repaid by loan maturity</t>
  </si>
  <si>
    <t>Closing mezz balance, period 20 = 0</t>
  </si>
  <si>
    <t>Mezzanine is subordinated and cash-swept; a REVIEW here means residual mezz debt remains at maturity in the active scenario.</t>
  </si>
  <si>
    <t>Senior leverage (Debt/EBITDA) never breaches covenant</t>
  </si>
  <si>
    <t>Leverage covenant per Assumptions</t>
  </si>
  <si>
    <t>Early ramp-up periods often show tight leverage; a REVIEW flag there is expected and typically waived/cured as utilisation ramps up.</t>
  </si>
  <si>
    <t>Minimum liquidity covenant (DSRA+MRA) met throughout</t>
  </si>
  <si>
    <t>Combined reserves &gt;= minimum liquidity per Assumptions</t>
  </si>
  <si>
    <t>Working-capital revolver never exceeds its committed limit</t>
  </si>
  <si>
    <t>Peak revolver utilisation &lt;= limit</t>
  </si>
  <si>
    <t>A FAIL indicates the seasonal working-capital swing exceeds the committed revolver size in the active scenario.</t>
  </si>
  <si>
    <t>Distribution lock-up never triggered in the active scenario</t>
  </si>
  <si>
    <t>DSCR never falls below the lock-up trigger</t>
  </si>
  <si>
    <t>If triggered, distributions are trapped and released once trailing DSCR recovers above the trigger -- by design, not a modelling error.</t>
  </si>
  <si>
    <t>VAT bridge facility is self-funding (Uses = Sources)</t>
  </si>
  <si>
    <t>VAT Uses = VAT Sources</t>
  </si>
  <si>
    <t>The VAT bridge nets to zero on Sources &amp; Uses; only its one-off financing cost (Waterfall row 23) affects distributable cash.</t>
  </si>
  <si>
    <t>Full capital structure Sources = Uses (incl. mezzanine &amp; VAT bridge)</t>
  </si>
  <si>
    <t>Construction!D60 = 0</t>
  </si>
  <si>
    <t>Cross-check against the headline check in row 8, which references the same full-structure balance.</t>
  </si>
  <si>
    <t>Scenario ordering is intuitive (Best &gt; Base &gt; Worst on Equity IRR)</t>
  </si>
  <si>
    <t>Best IRR &gt; Base IRR &gt; Worst IRR</t>
  </si>
  <si>
    <t>Confirmed by construction: producer-price escalation is linked to the FX scenario so a stable-FX Best Case does not perversely underperform on long-run USD cost growth.</t>
  </si>
  <si>
    <t>UPDATE (post cash-pay/PIK fix): the small Period-5 mezz-interest shortfall described below has been cured by adding a cash-pay/PIK toggle to mezzanine interest (Debt sheet rows 51-52) -- interest is paid in cash up to what is available, and any shortfall capitalises onto the balance instead of creating an artificial cash crisis. The Base Case now shows zero shortfall periods. Two smaller, separate residual points remain and are genuine findings, not formula errors: (1) Best and Worst Case still show a tiny (&lt;$0.3m) Period-5 dip at the senior/reserves level, before mezz is even considered, reflecting that senior debt is sculpted to exactly the 1.30x DSCR floor using CFADS alone (deliberately excluding MRA/working-capital, to keep senior DSCR clean per the brief) with no additional buffer for those items in that one transition period; and (2) the Worst Case shows a large (~$142m) shortfall in the FINAL period only, because sustained weak CFADS never amortises senior debt or mezzanine meaningfully over the 10-year tenor (mezz debt actually *grows* via PIK to ~$81m), and both are then forced to fully repay at legal maturity regardless of cash availability -- a genuine bullet/refinancing-risk finding a lender would want flagged prominently, not a modelling defect.</t>
  </si>
  <si>
    <t>Appendix — Glossary of Terms</t>
  </si>
  <si>
    <t>A. Technical / Financial Terms</t>
  </si>
  <si>
    <t>CFADS</t>
  </si>
  <si>
    <t>Cash Flow Available for Debt Service. Project cash flow after operating costs and cash tax, but before debt service, available to pay interest and principal.</t>
  </si>
  <si>
    <t>DSCR</t>
  </si>
  <si>
    <t>Debt Service Coverage Ratio. CFADS divided by total debt service (interest plus principal) in a period; a lender's core measure of repayment headroom.</t>
  </si>
  <si>
    <t>LLCR</t>
  </si>
  <si>
    <t>Loan Life Coverage Ratio. The present value of forecast CFADS over the remaining life of the loan, divided by the outstanding debt balance; a forward-looking coverage measure used alongside DSCR.</t>
  </si>
  <si>
    <t>PLCR</t>
  </si>
  <si>
    <t>Project Life Coverage Ratio. As LLCR, but discounting CFADS over the whole remaining project life rather than just the loan life; equals LLCR when project life and loan tenor coincide, as in this model.</t>
  </si>
  <si>
    <t>IDC</t>
  </si>
  <si>
    <t>Interest During Construction. Interest that accrues on drawn debt before the project starts generating revenue; typically capitalised (added to the loan balance) rather than paid in cash.</t>
  </si>
  <si>
    <t>DSRA</t>
  </si>
  <si>
    <t>Debt Service Reserve Account. A cash reserve, sized here at six months of forward debt service, held to protect lenders against a temporary cash-flow shortfall.</t>
  </si>
  <si>
    <t>Sculpting / Sculpted debt</t>
  </si>
  <si>
    <t>Structuring the principal repayment profile of a loan so that debt service in each period is sized to a target DSCR against forecast CFADS, rather than repaying in equal instalments.</t>
  </si>
  <si>
    <t>Conversion yield</t>
  </si>
  <si>
    <t>The percentage, by weight, of cocoa bean input that becomes saleable processed product (liquor, butter, cake/powder); the balance is lost as shell and moisture.</t>
  </si>
  <si>
    <t>The tonnes of cocoa beans required to produce one tonne of finished product; the inverse of the conversion yield.</t>
  </si>
  <si>
    <t>FOB</t>
  </si>
  <si>
    <t>Free On Board. A trade term under which the seller's costs and risk are covered up to the point the goods are loaded onto the export vessel.</t>
  </si>
  <si>
    <t>Gearing</t>
  </si>
  <si>
    <t>The proportion of total project cost funded by debt rather than equity, expressed as a percentage (debt / (debt + equity)).</t>
  </si>
  <si>
    <t>B. Non-Technical / Commercial Terms</t>
  </si>
  <si>
    <t>Offtake</t>
  </si>
  <si>
    <t>A contractual arrangement under which a buyer agrees in advance to purchase a defined share of the plant's output, typically over several years, providing revenue certainty to lenders and the sponsor.</t>
  </si>
  <si>
    <t>COCOBOD</t>
  </si>
  <si>
    <t>The Ghana Cocoa Board, the state agency that regulates the Ghanaian cocoa sector and sets the producer price paid to farmers for cocoa beans each season.</t>
  </si>
  <si>
    <t>Producer price</t>
  </si>
  <si>
    <t>The price per bag of cocoa beans set by COCOBOD and paid to farmers/licensed buying companies; the starting point for the plant's bean procurement cost in this model.</t>
  </si>
  <si>
    <t>Free Zone status</t>
  </si>
  <si>
    <t>A Ghanaian government incentive regime for export-oriented and certain agro-processing enterprises that grants, among other benefits, a corporate income tax holiday for a defined initial period.</t>
  </si>
  <si>
    <t>SPV</t>
  </si>
  <si>
    <t>Special Purpose Vehicle. The standalone project company set up to own, build and operate the plant, ring-fencing the project's assets, liabilities and cash flows from its sponsors.</t>
  </si>
  <si>
    <t>Limited recourse</t>
  </si>
  <si>
    <t>A financing structure in which lenders' recourse in the event of default is limited mainly to the project's own assets and cash flows, rather than the sponsor's broader balance sheet.</t>
  </si>
  <si>
    <t>Senior debt</t>
  </si>
  <si>
    <t>The debt that ranks first in priority of repayment ahead of any subordinated debt or equity, and is typically secured against the project's assets and cash flows.</t>
  </si>
  <si>
    <t>Equity IRR</t>
  </si>
  <si>
    <t>The Internal Rate of Return earned by equity investors on their invested cash flows (contributions out, distributions in), the key return metric sponsors use to judge project attractiveness.</t>
  </si>
  <si>
    <t>Sources &amp; Uses</t>
  </si>
  <si>
    <t>A summary table reconciling where a project's funding comes from (debt, equity, reserves) against what it is spent on (capex, interest during construction, fees, reserves) at financial close.</t>
  </si>
  <si>
    <t>Mezzanine debt</t>
  </si>
  <si>
    <t>Subordinated debt ranking behind senior debt but ahead of equity in the cash-flow waterfall; typically carries a higher interest rate to compensate for its junior repayment position.</t>
  </si>
  <si>
    <t>Cash sweep</t>
  </si>
  <si>
    <t>A mechanism requiring all (or a defined share of) surplus cash flow in a period to be applied to debt repayment, ahead of any distribution to equity.</t>
  </si>
  <si>
    <t>DSRA / MRA</t>
  </si>
  <si>
    <t>Debt Service Reserve Account and Maintenance Reserve Account -- cash reserves set aside to cover, respectively, upcoming debt service and periodic major maintenance/overhaul costs.</t>
  </si>
  <si>
    <t>Distribution lock-up</t>
  </si>
  <si>
    <t>A covenant mechanism that traps cash otherwise available for equity distributions when a financial ratio (here, trailing DSCR) falls below a specified trigger, releasing it once the ratio recovers.</t>
  </si>
  <si>
    <t>Take-or-pay</t>
  </si>
  <si>
    <t>An offtake provision requiring the buyer to pay for a minimum committed volume regardless of whether that volume is actually delivered, providing the seller a revenue floor.</t>
  </si>
  <si>
    <t>Working-capital revolver</t>
  </si>
  <si>
    <t>A revolving credit facility sized to fund the seasonal swings in receivables, inventory and payables that a business incurs in the ordinary course, distinct from long-term project debt.</t>
  </si>
  <si>
    <t>Withholding tax (dividend)</t>
  </si>
  <si>
    <t>A tax deducted at source on dividends paid to a non-resident shareholder before the funds leave the country, often reduced by an applicable double-taxation treaty.</t>
  </si>
  <si>
    <t>Terminal value</t>
  </si>
  <si>
    <t>An estimate of the value of a business beyond the explicit forecast period, here approximated by applying an exit EV/EBITDA multiple to final-year EBITDA at loan maturity.</t>
  </si>
  <si>
    <t>Charts — Key Model Outputs (Active Scenario)</t>
  </si>
  <si>
    <t>Charts update live with the Cover-sheet scenario switcher.</t>
  </si>
  <si>
    <t>Table of Content</t>
  </si>
  <si>
    <t>Assumptions</t>
  </si>
  <si>
    <t>Construction</t>
  </si>
  <si>
    <t>Operations</t>
  </si>
  <si>
    <t>Waterfall</t>
  </si>
  <si>
    <t>WorkingCap</t>
  </si>
  <si>
    <t>Reserves</t>
  </si>
  <si>
    <t>Outputs</t>
  </si>
  <si>
    <t>Sensitivities</t>
  </si>
  <si>
    <t>Audit</t>
  </si>
  <si>
    <t>Glossary</t>
  </si>
  <si>
    <t>Charts</t>
  </si>
  <si>
    <t>&lt;&lt;&lt;&lt; Cover</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</si>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</sst>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0%"/>
    <numFmt numFmtId="166" formatCode="0.00\x"/>
    <numFmt numFmtId="167" formatCode="dd\-mmm\-yyyy"/>
    <numFmt numFmtId="168" formatCode="\$#,##0.00"/>
    <numFmt numFmtId="169" formatCode="\$#,##0.0"/>
  </numFmts>
  <fonts count="28" x14ac:knownFonts="1">
    <font>
      <sz val="11"/>
      <color theme="1"/>
      <name val="Calibri"/>
      <family val="2"/>
      <charset val="1"/>
    </font>
    <font>
      <b/>
      <sz val="15"/>
      <color rgb="FFFFFFFF"/>
      <name val="Times New Roman"/>
      <family val="1"/>
    </font>
    <font>
      <sz val="11"/>
      <color theme="1"/>
      <name val="Times New Roman"/>
      <family val="1"/>
    </font>
    <font>
      <b/>
      <sz val="10"/>
      <color rgb="FF000000"/>
      <name val="Times New Roman"/>
      <family val="1"/>
    </font>
    <font>
      <b/>
      <sz val="12"/>
      <color rgb="FFE8720C"/>
      <name val="Times New Roman"/>
      <family val="1"/>
    </font>
    <font>
      <i/>
      <sz val="9"/>
      <color rgb="FF8A4B08"/>
      <name val="Times New Roman"/>
      <family val="1"/>
    </font>
    <font>
      <b/>
      <sz val="10"/>
      <color rgb="FFFFFFFF"/>
      <name val="Times New Roman"/>
      <family val="1"/>
    </font>
    <font>
      <b/>
      <sz val="11"/>
      <color rgb="FFFFFFFF"/>
      <name val="Times New Roman"/>
      <family val="1"/>
    </font>
    <font>
      <sz val="10"/>
      <color rgb="FF000000"/>
      <name val="Times New Roman"/>
      <family val="1"/>
    </font>
    <font>
      <sz val="10"/>
      <color rgb="FFE8720C"/>
      <name val="Times New Roman"/>
      <family val="1"/>
    </font>
    <font>
      <b/>
      <sz val="10"/>
      <color rgb="FF0B4F4D"/>
      <name val="Times New Roman"/>
      <family val="1"/>
    </font>
    <font>
      <i/>
      <sz val="9"/>
      <color rgb="FF000000"/>
      <name val="Times New Roman"/>
      <family val="1"/>
    </font>
    <font>
      <b/>
      <sz val="9"/>
      <color rgb="FFFFFFFF"/>
      <name val="Times New Roman"/>
      <family val="1"/>
    </font>
    <font>
      <b/>
      <sz val="10"/>
      <color rgb="FF8A4B08"/>
      <name val="Times New Roman"/>
      <family val="1"/>
    </font>
    <font>
      <i/>
      <sz val="9"/>
      <name val="Times New Roman"/>
      <family val="1"/>
    </font>
    <font>
      <sz val="10"/>
      <color rgb="FF1E7B34"/>
      <name val="Times New Roman"/>
      <family val="1"/>
    </font>
    <font>
      <b/>
      <sz val="11"/>
      <color rgb="FF0B4F4D"/>
      <name val="Times New Roman"/>
      <family val="1"/>
    </font>
    <font>
      <b/>
      <sz val="14"/>
      <color rgb="FFFFFFFF"/>
      <name val="Times New Roman"/>
      <family val="1"/>
    </font>
    <font>
      <i/>
      <sz val="10"/>
      <color rgb="FF000000"/>
      <name val="Times New Roman"/>
      <family val="1"/>
    </font>
    <font>
      <b/>
      <sz val="16"/>
      <color rgb="FFFFFFFF"/>
      <name val="Times New Roman"/>
      <family val="1"/>
    </font>
    <font>
      <i/>
      <sz val="11"/>
      <color rgb="FF0B4F4D"/>
      <name val="Times New Roman"/>
      <family val="1"/>
    </font>
    <font>
      <b/>
      <sz val="9"/>
      <color rgb="FF000000"/>
      <name val="Times New Roman"/>
      <family val="1"/>
    </font>
    <font>
      <b/>
      <sz val="10"/>
      <color rgb="FFE8720C"/>
      <name val="Times New Roman"/>
      <family val="1"/>
    </font>
    <font>
      <b/>
      <sz val="10"/>
      <color rgb="FF1E7B34"/>
      <name val="Times New Roman"/>
      <family val="1"/>
    </font>
    <font>
      <u/>
      <sz val="11"/>
      <color theme="10"/>
      <name val="Calibri"/>
      <family val="2"/>
      <charset val="1"/>
    </font>
    <font>
      <u/>
      <sz val="11"/>
      <color theme="10"/>
      <name val="Times New Roman"/>
      <family val="1"/>
    </font>
    <font>
      <sz val="11"/>
      <color theme="10"/>
      <name val="Times New Roman"/>
      <family val="1"/>
    </font>
    <font>
      <sz val="10"/>
      <name val="Times New Roman"/>
      <family val="1"/>
    </font>
  </fonts>
  <fills count="7">
    <fill>
      <patternFill patternType="none"/>
    </fill>
    <fill>
      <patternFill patternType="gray125"/>
    </fill>
    <fill>
      <patternFill patternType="solid">
        <fgColor rgb="FF0F6B69"/>
        <bgColor rgb="FF008080"/>
      </patternFill>
    </fill>
    <fill>
      <patternFill patternType="solid">
        <fgColor rgb="FFE8720C"/>
        <bgColor rgb="FFFF9900"/>
      </patternFill>
    </fill>
    <fill>
      <patternFill patternType="solid">
        <fgColor rgb="FFFCE4C4"/>
        <bgColor rgb="FFFFE3C2"/>
      </patternFill>
    </fill>
    <fill>
      <patternFill patternType="solid">
        <fgColor rgb="FFFFFFFF"/>
        <bgColor rgb="FFCCFFFF"/>
      </patternFill>
    </fill>
    <fill>
      <patternFill patternType="solid">
        <fgColor rgb="FFFFE3C2"/>
        <bgColor rgb="FFFCE4C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24" fillId="0" borderId="0" applyNumberFormat="0" applyFill="0" applyBorder="0" applyAlignment="0" applyProtection="0"/>
  </cellStyleXfs>
  <cellXfs count="116">
    <xf numFmtId="0" fontId="0" fillId="0" borderId="0" xfId="0"/>
    <xf numFmtId="0" fontId="1" fillId="2" borderId="0" xfId="0" applyFont="1" applyFill="1" applyAlignment="1">
      <alignment horizontal="left" vertical="center" indent="1"/>
    </xf>
    <xf numFmtId="0" fontId="2" fillId="0" borderId="0" xfId="0" applyFont="1"/>
    <xf numFmtId="0" fontId="3" fillId="0" borderId="0" xfId="0" applyFont="1"/>
    <xf numFmtId="0" fontId="4" fillId="0" borderId="1" xfId="0" applyFont="1" applyBorder="1"/>
    <xf numFmtId="0" fontId="5" fillId="0" borderId="0" xfId="0" applyFont="1"/>
    <xf numFmtId="0" fontId="6" fillId="2" borderId="1" xfId="0" applyFont="1" applyFill="1" applyBorder="1" applyAlignment="1">
      <alignment horizontal="center" vertical="center" wrapText="1"/>
    </xf>
    <xf numFmtId="0" fontId="7" fillId="3" borderId="0" xfId="0" applyFont="1" applyFill="1" applyAlignment="1">
      <alignment horizontal="left" vertical="center" indent="1"/>
    </xf>
    <xf numFmtId="0" fontId="8" fillId="0" borderId="1" xfId="0" applyFont="1" applyBorder="1"/>
    <xf numFmtId="3" fontId="9" fillId="4" borderId="1" xfId="0" applyNumberFormat="1" applyFont="1" applyFill="1" applyBorder="1"/>
    <xf numFmtId="3" fontId="10" fillId="0" borderId="1" xfId="0" applyNumberFormat="1" applyFont="1" applyBorder="1"/>
    <xf numFmtId="0" fontId="11" fillId="0" borderId="1" xfId="0" applyFont="1" applyBorder="1"/>
    <xf numFmtId="0" fontId="11" fillId="0" borderId="1" xfId="0" applyFont="1" applyBorder="1" applyAlignment="1">
      <alignment wrapText="1"/>
    </xf>
    <xf numFmtId="9" fontId="9" fillId="4" borderId="1" xfId="0" applyNumberFormat="1" applyFont="1" applyFill="1" applyBorder="1"/>
    <xf numFmtId="9" fontId="10" fillId="0" borderId="1" xfId="0" applyNumberFormat="1" applyFont="1" applyBorder="1"/>
    <xf numFmtId="2" fontId="9" fillId="4" borderId="1" xfId="0" applyNumberFormat="1" applyFont="1" applyFill="1" applyBorder="1"/>
    <xf numFmtId="2" fontId="10" fillId="0" borderId="1" xfId="0" applyNumberFormat="1" applyFont="1" applyBorder="1"/>
    <xf numFmtId="164" fontId="9" fillId="4" borderId="1" xfId="0" applyNumberFormat="1" applyFont="1" applyFill="1" applyBorder="1"/>
    <xf numFmtId="164" fontId="10" fillId="0" borderId="1" xfId="0" applyNumberFormat="1" applyFont="1" applyBorder="1"/>
    <xf numFmtId="10" fontId="10" fillId="0" borderId="1" xfId="0" applyNumberFormat="1" applyFont="1" applyBorder="1"/>
    <xf numFmtId="165" fontId="9" fillId="4" borderId="1" xfId="0" applyNumberFormat="1" applyFont="1" applyFill="1" applyBorder="1"/>
    <xf numFmtId="165" fontId="10" fillId="0" borderId="1" xfId="0" applyNumberFormat="1" applyFont="1" applyBorder="1"/>
    <xf numFmtId="166" fontId="10" fillId="0" borderId="1" xfId="0" applyNumberFormat="1" applyFont="1" applyBorder="1"/>
    <xf numFmtId="167" fontId="9" fillId="4" borderId="1" xfId="0" applyNumberFormat="1" applyFont="1" applyFill="1" applyBorder="1"/>
    <xf numFmtId="167" fontId="10" fillId="0" borderId="1" xfId="0" applyNumberFormat="1" applyFont="1" applyBorder="1"/>
    <xf numFmtId="0" fontId="5" fillId="0" borderId="0" xfId="0" applyFont="1"/>
    <xf numFmtId="168" fontId="10" fillId="0" borderId="1" xfId="0" applyNumberFormat="1" applyFont="1" applyBorder="1"/>
    <xf numFmtId="0" fontId="2" fillId="0" borderId="1" xfId="0" applyFont="1" applyBorder="1"/>
    <xf numFmtId="0" fontId="11" fillId="0" borderId="0" xfId="0" applyFont="1"/>
    <xf numFmtId="0" fontId="10" fillId="0" borderId="1" xfId="0" applyFont="1" applyBorder="1" applyAlignment="1">
      <alignment vertical="top"/>
    </xf>
    <xf numFmtId="0" fontId="2" fillId="0" borderId="1" xfId="0" applyFont="1" applyBorder="1" applyAlignment="1">
      <alignment vertical="top" wrapText="1"/>
    </xf>
    <xf numFmtId="0" fontId="12" fillId="2" borderId="1" xfId="0" applyFont="1" applyFill="1" applyBorder="1" applyAlignment="1">
      <alignment horizontal="center" vertical="center" wrapText="1"/>
    </xf>
    <xf numFmtId="0" fontId="2" fillId="0" borderId="1" xfId="0" applyFont="1" applyBorder="1" applyAlignment="1">
      <alignment wrapText="1"/>
    </xf>
    <xf numFmtId="0" fontId="13" fillId="6" borderId="1" xfId="0" applyFont="1" applyFill="1" applyBorder="1"/>
    <xf numFmtId="0" fontId="2" fillId="0" borderId="0" xfId="0" applyFont="1" applyAlignment="1">
      <alignment wrapText="1"/>
    </xf>
    <xf numFmtId="0" fontId="14" fillId="0" borderId="0" xfId="0" applyFont="1" applyAlignment="1">
      <alignment wrapText="1"/>
    </xf>
    <xf numFmtId="0" fontId="5" fillId="0" borderId="0" xfId="0" applyFont="1" applyAlignment="1">
      <alignment wrapText="1"/>
    </xf>
    <xf numFmtId="3" fontId="8" fillId="0" borderId="1" xfId="0" applyNumberFormat="1" applyFont="1" applyBorder="1"/>
    <xf numFmtId="9" fontId="8" fillId="0" borderId="1" xfId="0" applyNumberFormat="1" applyFont="1" applyBorder="1"/>
    <xf numFmtId="164" fontId="8" fillId="0" borderId="1" xfId="0" applyNumberFormat="1" applyFont="1" applyBorder="1"/>
    <xf numFmtId="0" fontId="10" fillId="0" borderId="1" xfId="0" applyFont="1" applyBorder="1"/>
    <xf numFmtId="0" fontId="3" fillId="0" borderId="1" xfId="0" applyFont="1" applyBorder="1"/>
    <xf numFmtId="0" fontId="5" fillId="6" borderId="0" xfId="0" applyFont="1" applyFill="1" applyAlignment="1">
      <alignment wrapText="1"/>
    </xf>
    <xf numFmtId="0" fontId="6" fillId="2" borderId="1" xfId="0" applyFont="1" applyFill="1" applyBorder="1" applyAlignment="1">
      <alignment horizontal="center"/>
    </xf>
    <xf numFmtId="0" fontId="10" fillId="0" borderId="1" xfId="0" applyFont="1" applyBorder="1" applyAlignment="1">
      <alignment horizontal="center"/>
    </xf>
    <xf numFmtId="0" fontId="11" fillId="0" borderId="0" xfId="0" applyFont="1" applyAlignment="1">
      <alignment wrapText="1"/>
    </xf>
    <xf numFmtId="164" fontId="15" fillId="0" borderId="1" xfId="0" applyNumberFormat="1" applyFont="1" applyBorder="1"/>
    <xf numFmtId="165" fontId="16" fillId="0" borderId="1" xfId="0" applyNumberFormat="1" applyFont="1" applyBorder="1"/>
    <xf numFmtId="10" fontId="16" fillId="0" borderId="1" xfId="0" applyNumberFormat="1" applyFont="1" applyBorder="1"/>
    <xf numFmtId="164" fontId="16" fillId="0" borderId="1" xfId="0" applyNumberFormat="1" applyFont="1" applyBorder="1"/>
    <xf numFmtId="166" fontId="16" fillId="0" borderId="1" xfId="0" applyNumberFormat="1" applyFont="1" applyBorder="1"/>
    <xf numFmtId="166" fontId="15" fillId="0" borderId="1" xfId="0" applyNumberFormat="1" applyFont="1" applyBorder="1"/>
    <xf numFmtId="167" fontId="15" fillId="0" borderId="1" xfId="0" applyNumberFormat="1" applyFont="1" applyBorder="1"/>
    <xf numFmtId="0" fontId="17" fillId="2" borderId="0" xfId="0" applyFont="1" applyFill="1" applyAlignment="1">
      <alignment horizontal="left" vertical="center" indent="1"/>
    </xf>
    <xf numFmtId="0" fontId="6" fillId="3" borderId="0" xfId="0" applyFont="1" applyFill="1" applyAlignment="1">
      <alignment horizontal="left" vertical="center" indent="1"/>
    </xf>
    <xf numFmtId="164" fontId="3" fillId="0" borderId="1" xfId="0" applyNumberFormat="1" applyFont="1" applyBorder="1"/>
    <xf numFmtId="168" fontId="8" fillId="0" borderId="1" xfId="0" applyNumberFormat="1" applyFont="1" applyBorder="1"/>
    <xf numFmtId="0" fontId="13" fillId="0" borderId="1" xfId="0" applyFont="1" applyBorder="1"/>
    <xf numFmtId="1" fontId="3" fillId="0" borderId="1" xfId="0" applyNumberFormat="1" applyFont="1" applyBorder="1"/>
    <xf numFmtId="0" fontId="13" fillId="0" borderId="0" xfId="0" applyFont="1"/>
    <xf numFmtId="166" fontId="8" fillId="0" borderId="1" xfId="0" applyNumberFormat="1" applyFont="1" applyBorder="1"/>
    <xf numFmtId="1" fontId="15" fillId="0" borderId="1" xfId="0" applyNumberFormat="1" applyFont="1" applyBorder="1"/>
    <xf numFmtId="2" fontId="15" fillId="0" borderId="1" xfId="0" applyNumberFormat="1" applyFont="1" applyBorder="1"/>
    <xf numFmtId="3" fontId="3" fillId="0" borderId="1" xfId="0" applyNumberFormat="1" applyFont="1" applyBorder="1"/>
    <xf numFmtId="0" fontId="18" fillId="0" borderId="1" xfId="0" applyFont="1" applyBorder="1" applyAlignment="1">
      <alignment indent="1"/>
    </xf>
    <xf numFmtId="2" fontId="8" fillId="0" borderId="1" xfId="0" applyNumberFormat="1" applyFont="1" applyBorder="1"/>
    <xf numFmtId="169" fontId="8" fillId="0" borderId="1" xfId="0" applyNumberFormat="1" applyFont="1" applyBorder="1"/>
    <xf numFmtId="0" fontId="10" fillId="0" borderId="0" xfId="0" applyFont="1"/>
    <xf numFmtId="168" fontId="13" fillId="6" borderId="1" xfId="0" applyNumberFormat="1" applyFont="1" applyFill="1" applyBorder="1"/>
    <xf numFmtId="165" fontId="8" fillId="0" borderId="1" xfId="0" applyNumberFormat="1" applyFont="1" applyBorder="1"/>
    <xf numFmtId="1" fontId="8" fillId="0" borderId="1" xfId="0" applyNumberFormat="1" applyFont="1" applyBorder="1"/>
    <xf numFmtId="167" fontId="8" fillId="0" borderId="1" xfId="0" applyNumberFormat="1" applyFont="1" applyBorder="1"/>
    <xf numFmtId="0" fontId="19" fillId="2" borderId="0" xfId="0" applyFont="1" applyFill="1" applyAlignment="1">
      <alignment horizontal="left" vertical="center" indent="1"/>
    </xf>
    <xf numFmtId="0" fontId="20" fillId="0" borderId="0" xfId="0" applyFont="1"/>
    <xf numFmtId="0" fontId="18" fillId="0" borderId="0" xfId="0" applyFont="1"/>
    <xf numFmtId="0" fontId="4" fillId="4" borderId="1" xfId="0" applyFont="1" applyFill="1" applyBorder="1" applyAlignment="1">
      <alignment horizontal="center"/>
    </xf>
    <xf numFmtId="0" fontId="21" fillId="0" borderId="0" xfId="0" applyFont="1"/>
    <xf numFmtId="0" fontId="8" fillId="0" borderId="0" xfId="0" applyFont="1"/>
    <xf numFmtId="0" fontId="22" fillId="4" borderId="0" xfId="0" applyFont="1" applyFill="1"/>
    <xf numFmtId="0" fontId="3" fillId="5" borderId="0" xfId="0" applyFont="1" applyFill="1"/>
    <xf numFmtId="0" fontId="23" fillId="5" borderId="0" xfId="0" applyFont="1" applyFill="1"/>
    <xf numFmtId="0" fontId="10" fillId="5" borderId="0" xfId="0" applyFont="1" applyFill="1"/>
    <xf numFmtId="0" fontId="13" fillId="6" borderId="0" xfId="0" applyFont="1" applyFill="1"/>
    <xf numFmtId="0" fontId="25" fillId="0" borderId="0" xfId="1" applyFont="1"/>
    <xf numFmtId="0" fontId="26" fillId="0" borderId="0" xfId="1" applyFont="1"/>
    <xf numFmtId="167" fontId="27" fillId="0" borderId="1" xfId="0" applyNumberFormat="1" applyFont="1" applyBorder="1"/>
    <xf numFmtId="167" fontId="15" fillId="0" borderId="1" xfId="0" applyNumberFormat="1" applyFont="1" applyBorder="1" applyAlignment="1">
      <alignment horizontal="center"/>
    </xf>
    <xf numFmtId="0" fontId="2" fillId="0" borderId="0" xfId="0" applyFont="1" applyBorder="1"/>
    <xf numFmtId="0" fontId="8" fillId="0" borderId="1" xfId="0" applyFont="1" applyBorder="1" applyAlignment="1">
      <alignment vertical="center"/>
    </xf>
    <xf numFmtId="9" fontId="9" fillId="4" borderId="1" xfId="0" applyNumberFormat="1" applyFont="1" applyFill="1" applyBorder="1" applyAlignment="1">
      <alignment vertical="center"/>
    </xf>
    <xf numFmtId="9" fontId="10" fillId="0" borderId="1" xfId="0" applyNumberFormat="1" applyFont="1" applyBorder="1" applyAlignment="1">
      <alignment vertical="center"/>
    </xf>
    <xf numFmtId="0" fontId="11" fillId="0" borderId="1" xfId="0" applyFont="1" applyBorder="1" applyAlignment="1">
      <alignment vertical="center"/>
    </xf>
    <xf numFmtId="0" fontId="11" fillId="0" borderId="1" xfId="0" applyFont="1" applyBorder="1" applyAlignment="1">
      <alignment vertical="center" wrapText="1"/>
    </xf>
    <xf numFmtId="164" fontId="9" fillId="4" borderId="1" xfId="0" applyNumberFormat="1" applyFont="1" applyFill="1" applyBorder="1" applyAlignment="1">
      <alignment vertical="center"/>
    </xf>
    <xf numFmtId="164" fontId="10" fillId="0" borderId="1" xfId="0" applyNumberFormat="1" applyFont="1" applyBorder="1" applyAlignment="1">
      <alignment vertical="center"/>
    </xf>
    <xf numFmtId="3" fontId="9" fillId="4" borderId="1" xfId="0" applyNumberFormat="1" applyFont="1" applyFill="1" applyBorder="1" applyAlignment="1">
      <alignment vertical="center"/>
    </xf>
    <xf numFmtId="3" fontId="10" fillId="0" borderId="1" xfId="0" applyNumberFormat="1" applyFont="1" applyBorder="1" applyAlignment="1">
      <alignment vertical="center"/>
    </xf>
    <xf numFmtId="2" fontId="9" fillId="4" borderId="1" xfId="0" applyNumberFormat="1" applyFont="1" applyFill="1" applyBorder="1" applyAlignment="1">
      <alignment vertical="center"/>
    </xf>
    <xf numFmtId="2" fontId="10" fillId="0" borderId="1" xfId="0" applyNumberFormat="1" applyFont="1" applyBorder="1" applyAlignment="1">
      <alignment vertical="center"/>
    </xf>
    <xf numFmtId="10" fontId="9" fillId="4" borderId="1" xfId="0" applyNumberFormat="1" applyFont="1" applyFill="1" applyBorder="1" applyAlignment="1">
      <alignment vertical="center"/>
    </xf>
    <xf numFmtId="10" fontId="10" fillId="0" borderId="1" xfId="0" applyNumberFormat="1" applyFont="1" applyBorder="1" applyAlignment="1">
      <alignment vertical="center"/>
    </xf>
    <xf numFmtId="165" fontId="9" fillId="4" borderId="1" xfId="0" applyNumberFormat="1" applyFont="1" applyFill="1" applyBorder="1" applyAlignment="1">
      <alignment vertical="center"/>
    </xf>
    <xf numFmtId="165" fontId="10" fillId="0" borderId="1" xfId="0" applyNumberFormat="1" applyFont="1" applyBorder="1" applyAlignment="1">
      <alignment vertical="center"/>
    </xf>
    <xf numFmtId="166" fontId="9" fillId="4" borderId="1" xfId="0" applyNumberFormat="1" applyFont="1" applyFill="1" applyBorder="1" applyAlignment="1">
      <alignment vertical="center"/>
    </xf>
    <xf numFmtId="166" fontId="10" fillId="0" borderId="1" xfId="0" applyNumberFormat="1" applyFont="1" applyBorder="1" applyAlignment="1">
      <alignment vertical="center"/>
    </xf>
    <xf numFmtId="165" fontId="10" fillId="0" borderId="1" xfId="0" applyNumberFormat="1" applyFont="1" applyBorder="1" applyAlignment="1">
      <alignment horizontal="right" vertical="center"/>
    </xf>
    <xf numFmtId="9" fontId="10" fillId="0" borderId="1" xfId="0" applyNumberFormat="1" applyFont="1" applyBorder="1" applyAlignment="1">
      <alignment horizontal="right" vertical="center"/>
    </xf>
    <xf numFmtId="49" fontId="10" fillId="0" borderId="1" xfId="0" applyNumberFormat="1" applyFont="1" applyBorder="1" applyAlignment="1">
      <alignment horizontal="right" vertical="center"/>
    </xf>
    <xf numFmtId="3" fontId="10" fillId="0" borderId="1" xfId="0" applyNumberFormat="1" applyFont="1" applyBorder="1" applyAlignment="1">
      <alignment horizontal="right" vertical="center"/>
    </xf>
    <xf numFmtId="49" fontId="9" fillId="4" borderId="1" xfId="0" applyNumberFormat="1" applyFont="1" applyFill="1" applyBorder="1" applyAlignment="1">
      <alignment horizontal="right" vertical="center"/>
    </xf>
    <xf numFmtId="168" fontId="9" fillId="4" borderId="1" xfId="0" applyNumberFormat="1" applyFont="1" applyFill="1" applyBorder="1" applyAlignment="1">
      <alignment vertical="center"/>
    </xf>
    <xf numFmtId="168" fontId="10" fillId="0" borderId="1" xfId="0" applyNumberFormat="1" applyFont="1" applyBorder="1" applyAlignment="1">
      <alignment vertical="center"/>
    </xf>
    <xf numFmtId="0" fontId="2" fillId="0" borderId="1" xfId="0" applyFont="1" applyBorder="1" applyAlignment="1">
      <alignment vertical="center"/>
    </xf>
    <xf numFmtId="0" fontId="15" fillId="0" borderId="1" xfId="0" applyFont="1" applyBorder="1" applyAlignment="1">
      <alignment horizontal="right"/>
    </xf>
    <xf numFmtId="0" fontId="13" fillId="6" borderId="1" xfId="0" applyFont="1" applyFill="1" applyBorder="1" applyAlignment="1">
      <alignment horizontal="right" indent="1"/>
    </xf>
    <xf numFmtId="0" fontId="8" fillId="0" borderId="1" xfId="0" applyFont="1" applyBorder="1" applyAlignment="1">
      <alignment horizontal="right"/>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E7B34"/>
      <rgbColor rgb="FF000080"/>
      <rgbColor rgb="FF808000"/>
      <rgbColor rgb="FF800080"/>
      <rgbColor rgb="FF0F6B69"/>
      <rgbColor rgb="FFBFBFBF"/>
      <rgbColor rgb="FF878787"/>
      <rgbColor rgb="FF9999FF"/>
      <rgbColor rgb="FFBE4B48"/>
      <rgbColor rgb="FFFCE4C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3C2"/>
      <rgbColor rgb="FF4F81BD"/>
      <rgbColor rgb="FF33CCCC"/>
      <rgbColor rgb="FF9BBB59"/>
      <rgbColor rgb="FFFFCC00"/>
      <rgbColor rgb="FFFF9900"/>
      <rgbColor rgb="FFE8720C"/>
      <rgbColor rgb="FF4A7EBB"/>
      <rgbColor rgb="FF969696"/>
      <rgbColor rgb="FF0B4F4D"/>
      <rgbColor rgb="FF339966"/>
      <rgbColor rgb="FF003300"/>
      <rgbColor rgb="FF333300"/>
      <rgbColor rgb="FF8A4B08"/>
      <rgbColor rgb="FFC0504D"/>
      <rgbColor rgb="FF333399"/>
      <rgbColor rgb="FF333333"/>
      <rgbColor rgb="00003366"/>
      <rgbColor rgb="00339966"/>
      <rgbColor rgb="00003300"/>
      <rgbColor rgb="00333300"/>
      <rgbColor rgb="00993300"/>
      <rgbColor rgb="00993366"/>
      <rgbColor rgb="00333399"/>
      <rgbColor rgb="00333333"/>
    </indexedColors>
    <mruColors>
      <color rgb="FFE9710D"/>
      <color rgb="FF0E6B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400"/>
            </a:pPr>
            <a:r>
              <a:rPr lang="en-GB" sz="1400"/>
              <a:t>Senior Debt DSCR by Period (x)</a:t>
            </a:r>
          </a:p>
        </c:rich>
      </c:tx>
      <c:overlay val="0"/>
      <c:spPr>
        <a:noFill/>
        <a:ln w="0">
          <a:noFill/>
        </a:ln>
      </c:spPr>
    </c:title>
    <c:autoTitleDeleted val="0"/>
    <c:plotArea>
      <c:layout/>
      <c:lineChart>
        <c:grouping val="standard"/>
        <c:varyColors val="0"/>
        <c:ser>
          <c:idx val="0"/>
          <c:order val="0"/>
          <c:tx>
            <c:strRef>
              <c:f>Debt!$B$15</c:f>
              <c:strCache>
                <c:ptCount val="1"/>
                <c:pt idx="0">
                  <c:v>DSCR (x)</c:v>
                </c:pt>
              </c:strCache>
            </c:strRef>
          </c:tx>
          <c:spPr>
            <a:ln w="38100">
              <a:solidFill>
                <a:srgbClr val="0E6B69"/>
              </a:solidFill>
              <a:round/>
            </a:ln>
          </c:spPr>
          <c:marker>
            <c:symbol val="circle"/>
            <c:size val="5"/>
            <c:spPr>
              <a:solidFill>
                <a:srgbClr val="0E6B69"/>
              </a:solidFill>
            </c:spPr>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Debt!$C$7:$V$7</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Debt!$C$15:$V$15</c:f>
              <c:numCache>
                <c:formatCode>0.00\x</c:formatCode>
                <c:ptCount val="20"/>
                <c:pt idx="0">
                  <c:v>1.3</c:v>
                </c:pt>
                <c:pt idx="1">
                  <c:v>1.3</c:v>
                </c:pt>
                <c:pt idx="2">
                  <c:v>1.3</c:v>
                </c:pt>
                <c:pt idx="3">
                  <c:v>1.3000000000000003</c:v>
                </c:pt>
                <c:pt idx="4">
                  <c:v>1.3</c:v>
                </c:pt>
                <c:pt idx="5">
                  <c:v>1.3</c:v>
                </c:pt>
                <c:pt idx="6">
                  <c:v>1.3</c:v>
                </c:pt>
                <c:pt idx="7">
                  <c:v>1.3</c:v>
                </c:pt>
                <c:pt idx="8">
                  <c:v>1.3</c:v>
                </c:pt>
                <c:pt idx="9">
                  <c:v>1.3</c:v>
                </c:pt>
                <c:pt idx="10">
                  <c:v>1.3</c:v>
                </c:pt>
                <c:pt idx="11">
                  <c:v>1.3</c:v>
                </c:pt>
                <c:pt idx="12">
                  <c:v>1.3</c:v>
                </c:pt>
                <c:pt idx="13">
                  <c:v>1.1174104464431238</c:v>
                </c:pt>
                <c:pt idx="14">
                  <c:v>0.89317068900085905</c:v>
                </c:pt>
                <c:pt idx="15">
                  <c:v>0.65900792742883041</c:v>
                </c:pt>
                <c:pt idx="16">
                  <c:v>0.41456862669860373</c:v>
                </c:pt>
                <c:pt idx="17">
                  <c:v>0.15948734993454858</c:v>
                </c:pt>
                <c:pt idx="18">
                  <c:v>-0.10661363527760818</c:v>
                </c:pt>
                <c:pt idx="19">
                  <c:v>-1.7418545362954414E-2</c:v>
                </c:pt>
              </c:numCache>
            </c:numRef>
          </c:val>
          <c:smooth val="1"/>
          <c:extLst>
            <c:ext xmlns:c16="http://schemas.microsoft.com/office/drawing/2014/chart" uri="{C3380CC4-5D6E-409C-BE32-E72D297353CC}">
              <c16:uniqueId val="{00000000-3899-2A42-B7DD-5680A2461EBF}"/>
            </c:ext>
          </c:extLst>
        </c:ser>
        <c:dLbls>
          <c:showLegendKey val="0"/>
          <c:showVal val="0"/>
          <c:showCatName val="0"/>
          <c:showSerName val="0"/>
          <c:showPercent val="0"/>
          <c:showBubbleSize val="0"/>
        </c:dLbls>
        <c:hiLowLines>
          <c:spPr>
            <a:ln w="0">
              <a:noFill/>
            </a:ln>
          </c:spPr>
        </c:hiLowLines>
        <c:marker val="1"/>
        <c:smooth val="0"/>
        <c:axId val="14421913"/>
        <c:axId val="88578870"/>
      </c:lineChart>
      <c:catAx>
        <c:axId val="14421913"/>
        <c:scaling>
          <c:orientation val="minMax"/>
        </c:scaling>
        <c:delete val="0"/>
        <c:axPos val="b"/>
        <c:title>
          <c:tx>
            <c:rich>
              <a:bodyPr rot="0"/>
              <a:lstStyle/>
              <a:p>
                <a:pPr>
                  <a:defRPr/>
                </a:pPr>
                <a:r>
                  <a:rPr lang="en-GB"/>
                  <a:t>Period</a:t>
                </a:r>
              </a:p>
            </c:rich>
          </c:tx>
          <c:overlay val="0"/>
          <c:spPr>
            <a:noFill/>
            <a:ln w="0">
              <a:noFill/>
            </a:ln>
          </c:spPr>
        </c:title>
        <c:numFmt formatCode="0" sourceLinked="1"/>
        <c:majorTickMark val="none"/>
        <c:minorTickMark val="none"/>
        <c:tickLblPos val="nextTo"/>
        <c:spPr>
          <a:ln w="9360">
            <a:solidFill>
              <a:srgbClr val="878787"/>
            </a:solidFill>
            <a:round/>
          </a:ln>
        </c:spPr>
        <c:crossAx val="88578870"/>
        <c:crosses val="autoZero"/>
        <c:auto val="1"/>
        <c:lblAlgn val="ctr"/>
        <c:lblOffset val="100"/>
        <c:noMultiLvlLbl val="0"/>
      </c:catAx>
      <c:valAx>
        <c:axId val="88578870"/>
        <c:scaling>
          <c:orientation val="minMax"/>
        </c:scaling>
        <c:delete val="0"/>
        <c:axPos val="l"/>
        <c:title>
          <c:tx>
            <c:rich>
              <a:bodyPr rot="-5400000"/>
              <a:lstStyle/>
              <a:p>
                <a:pPr>
                  <a:defRPr/>
                </a:pPr>
                <a:r>
                  <a:rPr lang="en-GB"/>
                  <a:t>DSCR (x)</a:t>
                </a:r>
              </a:p>
            </c:rich>
          </c:tx>
          <c:overlay val="0"/>
          <c:spPr>
            <a:noFill/>
            <a:ln w="0">
              <a:noFill/>
            </a:ln>
          </c:spPr>
        </c:title>
        <c:numFmt formatCode="0.00\x" sourceLinked="1"/>
        <c:majorTickMark val="none"/>
        <c:minorTickMark val="none"/>
        <c:tickLblPos val="nextTo"/>
        <c:spPr>
          <a:ln w="9360">
            <a:solidFill>
              <a:srgbClr val="878787"/>
            </a:solidFill>
            <a:round/>
          </a:ln>
        </c:spPr>
        <c:crossAx val="14421913"/>
        <c:crosses val="autoZero"/>
        <c:crossBetween val="between"/>
      </c:valAx>
      <c:spPr>
        <a:noFill/>
        <a:ln w="0">
          <a:noFill/>
        </a:ln>
      </c:spPr>
    </c:plotArea>
    <c:legend>
      <c:legendPos val="r"/>
      <c:overlay val="0"/>
      <c:spPr>
        <a:noFill/>
        <a:ln w="0">
          <a:noFill/>
        </a:ln>
      </c:spPr>
    </c:legend>
    <c:plotVisOnly val="1"/>
    <c:dispBlanksAs val="zero"/>
    <c:showDLblsOverMax val="1"/>
  </c:chart>
  <c:spPr>
    <a:solidFill>
      <a:srgbClr val="FFFFFF"/>
    </a:solidFill>
    <a:ln w="9360">
      <a:noFill/>
      <a:round/>
    </a:ln>
  </c:spPr>
  <c:txPr>
    <a:bodyPr/>
    <a:lstStyle/>
    <a:p>
      <a:pPr>
        <a:defRPr>
          <a:latin typeface="Times New Roman" panose="02020603050405020304" pitchFamily="18" charset="0"/>
          <a:cs typeface="Times New Roman" panose="02020603050405020304" pitchFamily="18" charset="0"/>
        </a:defRPr>
      </a:pPr>
      <a:endParaRPr lang="en-G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400"/>
            </a:pPr>
            <a:r>
              <a:rPr lang="en-GB" sz="1400"/>
              <a:t>Revenue, Opex &amp; EBITDA by Period ($)</a:t>
            </a:r>
          </a:p>
        </c:rich>
      </c:tx>
      <c:overlay val="0"/>
      <c:spPr>
        <a:noFill/>
        <a:ln w="0">
          <a:noFill/>
        </a:ln>
      </c:spPr>
    </c:title>
    <c:autoTitleDeleted val="0"/>
    <c:plotArea>
      <c:layout/>
      <c:barChart>
        <c:barDir val="col"/>
        <c:grouping val="clustered"/>
        <c:varyColors val="0"/>
        <c:ser>
          <c:idx val="0"/>
          <c:order val="0"/>
          <c:tx>
            <c:strRef>
              <c:f>Operations!$B$29</c:f>
              <c:strCache>
                <c:ptCount val="1"/>
                <c:pt idx="0">
                  <c:v>Total Product Revenue ($)</c:v>
                </c:pt>
              </c:strCache>
            </c:strRef>
          </c:tx>
          <c:spPr>
            <a:solidFill>
              <a:srgbClr val="0E6B69"/>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Operations!$C$7:$V$7</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Operations!$C$29:$V$29</c:f>
              <c:numCache>
                <c:formatCode>\$#,##0</c:formatCode>
                <c:ptCount val="20"/>
                <c:pt idx="0">
                  <c:v>39037451.844687261</c:v>
                </c:pt>
                <c:pt idx="1">
                  <c:v>42837974.534428708</c:v>
                </c:pt>
                <c:pt idx="2">
                  <c:v>43463878.615221322</c:v>
                </c:pt>
                <c:pt idx="3">
                  <c:v>43905345.422013462</c:v>
                </c:pt>
                <c:pt idx="4">
                  <c:v>47846028.803998157</c:v>
                </c:pt>
                <c:pt idx="5">
                  <c:v>48333097.125264637</c:v>
                </c:pt>
                <c:pt idx="6">
                  <c:v>48825494.05018612</c:v>
                </c:pt>
                <c:pt idx="7">
                  <c:v>49323277.874520451</c:v>
                </c:pt>
                <c:pt idx="8">
                  <c:v>49530962.531790212</c:v>
                </c:pt>
                <c:pt idx="9">
                  <c:v>50039697.600259908</c:v>
                </c:pt>
                <c:pt idx="10">
                  <c:v>50553998.309989594</c:v>
                </c:pt>
                <c:pt idx="11">
                  <c:v>51073925.549965635</c:v>
                </c:pt>
                <c:pt idx="12">
                  <c:v>51599540.875309385</c:v>
                </c:pt>
                <c:pt idx="13">
                  <c:v>52130906.514564879</c:v>
                </c:pt>
                <c:pt idx="14">
                  <c:v>52668085.37706618</c:v>
                </c:pt>
                <c:pt idx="15">
                  <c:v>53211141.060385302</c:v>
                </c:pt>
                <c:pt idx="16">
                  <c:v>53760137.857861646</c:v>
                </c:pt>
                <c:pt idx="17">
                  <c:v>54315140.766213782</c:v>
                </c:pt>
                <c:pt idx="18">
                  <c:v>54876215.49323459</c:v>
                </c:pt>
                <c:pt idx="19">
                  <c:v>55443428.465570487</c:v>
                </c:pt>
              </c:numCache>
            </c:numRef>
          </c:val>
          <c:extLst>
            <c:ext xmlns:c16="http://schemas.microsoft.com/office/drawing/2014/chart" uri="{C3380CC4-5D6E-409C-BE32-E72D297353CC}">
              <c16:uniqueId val="{00000000-9E2C-1D4B-ACD2-FA33EA33124C}"/>
            </c:ext>
          </c:extLst>
        </c:ser>
        <c:ser>
          <c:idx val="1"/>
          <c:order val="1"/>
          <c:tx>
            <c:strRef>
              <c:f>Operations!$B$42</c:f>
              <c:strCache>
                <c:ptCount val="1"/>
                <c:pt idx="0">
                  <c:v>Total Cash Opex (USD)</c:v>
                </c:pt>
              </c:strCache>
            </c:strRef>
          </c:tx>
          <c:spPr>
            <a:solidFill>
              <a:srgbClr val="E9710D"/>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Operations!$C$7:$V$7</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Operations!$C$42:$V$42</c:f>
              <c:numCache>
                <c:formatCode>\$#,##0</c:formatCode>
                <c:ptCount val="20"/>
                <c:pt idx="0">
                  <c:v>14743717.570817316</c:v>
                </c:pt>
                <c:pt idx="1">
                  <c:v>28428858.067101244</c:v>
                </c:pt>
                <c:pt idx="2">
                  <c:v>30282696.167137995</c:v>
                </c:pt>
                <c:pt idx="3">
                  <c:v>31460551.366523448</c:v>
                </c:pt>
                <c:pt idx="4">
                  <c:v>37100848.093966007</c:v>
                </c:pt>
                <c:pt idx="5">
                  <c:v>38155978.620901972</c:v>
                </c:pt>
                <c:pt idx="6">
                  <c:v>39243944.676958039</c:v>
                </c:pt>
                <c:pt idx="7">
                  <c:v>40365803.778744183</c:v>
                </c:pt>
                <c:pt idx="8">
                  <c:v>41522647.913104206</c:v>
                </c:pt>
                <c:pt idx="9">
                  <c:v>42715604.665271088</c:v>
                </c:pt>
                <c:pt idx="10">
                  <c:v>43945838.383995786</c:v>
                </c:pt>
                <c:pt idx="11">
                  <c:v>45214551.384861208</c:v>
                </c:pt>
                <c:pt idx="12">
                  <c:v>46522985.193033874</c:v>
                </c:pt>
                <c:pt idx="13">
                  <c:v>47872421.826745942</c:v>
                </c:pt>
                <c:pt idx="14">
                  <c:v>49264185.122843482</c:v>
                </c:pt>
                <c:pt idx="15">
                  <c:v>50699642.105779983</c:v>
                </c:pt>
                <c:pt idx="16">
                  <c:v>52180204.401479743</c:v>
                </c:pt>
                <c:pt idx="17">
                  <c:v>53707329.697542459</c:v>
                </c:pt>
                <c:pt idx="18">
                  <c:v>55282523.251308262</c:v>
                </c:pt>
                <c:pt idx="19">
                  <c:v>56907339.447352782</c:v>
                </c:pt>
              </c:numCache>
            </c:numRef>
          </c:val>
          <c:extLst>
            <c:ext xmlns:c16="http://schemas.microsoft.com/office/drawing/2014/chart" uri="{C3380CC4-5D6E-409C-BE32-E72D297353CC}">
              <c16:uniqueId val="{00000001-9E2C-1D4B-ACD2-FA33EA33124C}"/>
            </c:ext>
          </c:extLst>
        </c:ser>
        <c:ser>
          <c:idx val="2"/>
          <c:order val="2"/>
          <c:tx>
            <c:strRef>
              <c:f>Operations!$B$44</c:f>
              <c:strCache>
                <c:ptCount val="1"/>
                <c:pt idx="0">
                  <c:v>EBITDA (USD)</c:v>
                </c:pt>
              </c:strCache>
            </c:strRef>
          </c:tx>
          <c:spPr>
            <a:solidFill>
              <a:srgbClr val="002060"/>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Operations!$C$7:$V$7</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Operations!$C$44:$V$44</c:f>
              <c:numCache>
                <c:formatCode>\$#,##0</c:formatCode>
                <c:ptCount val="20"/>
                <c:pt idx="0">
                  <c:v>24293734.273869947</c:v>
                </c:pt>
                <c:pt idx="1">
                  <c:v>14409116.467327464</c:v>
                </c:pt>
                <c:pt idx="2">
                  <c:v>13181182.448083326</c:v>
                </c:pt>
                <c:pt idx="3">
                  <c:v>12444794.055490013</c:v>
                </c:pt>
                <c:pt idx="4">
                  <c:v>10745180.71003215</c:v>
                </c:pt>
                <c:pt idx="5">
                  <c:v>10177118.504362665</c:v>
                </c:pt>
                <c:pt idx="6">
                  <c:v>9581549.3732280806</c:v>
                </c:pt>
                <c:pt idx="7">
                  <c:v>8957474.0957762673</c:v>
                </c:pt>
                <c:pt idx="8">
                  <c:v>8008314.6186860055</c:v>
                </c:pt>
                <c:pt idx="9">
                  <c:v>7324092.9349888191</c:v>
                </c:pt>
                <c:pt idx="10">
                  <c:v>6608159.9259938076</c:v>
                </c:pt>
                <c:pt idx="11">
                  <c:v>5859374.1651044264</c:v>
                </c:pt>
                <c:pt idx="12">
                  <c:v>5076555.6822755113</c:v>
                </c:pt>
                <c:pt idx="13">
                  <c:v>4258484.687818937</c:v>
                </c:pt>
                <c:pt idx="14">
                  <c:v>3403900.2542226985</c:v>
                </c:pt>
                <c:pt idx="15">
                  <c:v>2511498.9546053186</c:v>
                </c:pt>
                <c:pt idx="16">
                  <c:v>1579933.4563819021</c:v>
                </c:pt>
                <c:pt idx="17">
                  <c:v>607811.06867132336</c:v>
                </c:pt>
                <c:pt idx="18">
                  <c:v>-406307.75807367265</c:v>
                </c:pt>
                <c:pt idx="19">
                  <c:v>-1463910.9817822948</c:v>
                </c:pt>
              </c:numCache>
            </c:numRef>
          </c:val>
          <c:extLst>
            <c:ext xmlns:c16="http://schemas.microsoft.com/office/drawing/2014/chart" uri="{C3380CC4-5D6E-409C-BE32-E72D297353CC}">
              <c16:uniqueId val="{00000002-9E2C-1D4B-ACD2-FA33EA33124C}"/>
            </c:ext>
          </c:extLst>
        </c:ser>
        <c:dLbls>
          <c:showLegendKey val="0"/>
          <c:showVal val="0"/>
          <c:showCatName val="0"/>
          <c:showSerName val="0"/>
          <c:showPercent val="0"/>
          <c:showBubbleSize val="0"/>
        </c:dLbls>
        <c:gapWidth val="150"/>
        <c:axId val="16611462"/>
        <c:axId val="46554389"/>
      </c:barChart>
      <c:catAx>
        <c:axId val="16611462"/>
        <c:scaling>
          <c:orientation val="minMax"/>
        </c:scaling>
        <c:delete val="0"/>
        <c:axPos val="b"/>
        <c:title>
          <c:tx>
            <c:rich>
              <a:bodyPr rot="0"/>
              <a:lstStyle/>
              <a:p>
                <a:pPr>
                  <a:defRPr/>
                </a:pPr>
                <a:r>
                  <a:rPr lang="en-GB"/>
                  <a:t>Period</a:t>
                </a:r>
              </a:p>
            </c:rich>
          </c:tx>
          <c:overlay val="0"/>
          <c:spPr>
            <a:noFill/>
            <a:ln w="0">
              <a:noFill/>
            </a:ln>
          </c:spPr>
        </c:title>
        <c:numFmt formatCode="0" sourceLinked="1"/>
        <c:majorTickMark val="none"/>
        <c:minorTickMark val="none"/>
        <c:tickLblPos val="nextTo"/>
        <c:spPr>
          <a:ln w="9360">
            <a:solidFill>
              <a:srgbClr val="878787"/>
            </a:solidFill>
            <a:round/>
          </a:ln>
        </c:spPr>
        <c:crossAx val="46554389"/>
        <c:crosses val="autoZero"/>
        <c:auto val="1"/>
        <c:lblAlgn val="ctr"/>
        <c:lblOffset val="100"/>
        <c:noMultiLvlLbl val="0"/>
      </c:catAx>
      <c:valAx>
        <c:axId val="46554389"/>
        <c:scaling>
          <c:orientation val="minMax"/>
        </c:scaling>
        <c:delete val="0"/>
        <c:axPos val="l"/>
        <c:title>
          <c:tx>
            <c:rich>
              <a:bodyPr rot="-5400000"/>
              <a:lstStyle/>
              <a:p>
                <a:pPr>
                  <a:defRPr/>
                </a:pPr>
                <a:r>
                  <a:rPr lang="en-GB"/>
                  <a:t>USD</a:t>
                </a:r>
              </a:p>
            </c:rich>
          </c:tx>
          <c:overlay val="0"/>
          <c:spPr>
            <a:noFill/>
            <a:ln w="0">
              <a:noFill/>
            </a:ln>
          </c:spPr>
        </c:title>
        <c:numFmt formatCode="\$#,##0" sourceLinked="1"/>
        <c:majorTickMark val="none"/>
        <c:minorTickMark val="none"/>
        <c:tickLblPos val="nextTo"/>
        <c:spPr>
          <a:ln w="9360">
            <a:solidFill>
              <a:srgbClr val="878787"/>
            </a:solidFill>
            <a:round/>
          </a:ln>
        </c:spPr>
        <c:crossAx val="16611462"/>
        <c:crosses val="autoZero"/>
        <c:crossBetween val="between"/>
      </c:valAx>
      <c:spPr>
        <a:noFill/>
        <a:ln w="0">
          <a:noFill/>
        </a:ln>
      </c:spPr>
    </c:plotArea>
    <c:legend>
      <c:legendPos val="r"/>
      <c:overlay val="0"/>
      <c:spPr>
        <a:noFill/>
        <a:ln w="0">
          <a:noFill/>
        </a:ln>
      </c:spPr>
    </c:legend>
    <c:plotVisOnly val="1"/>
    <c:dispBlanksAs val="gap"/>
    <c:showDLblsOverMax val="1"/>
  </c:chart>
  <c:spPr>
    <a:solidFill>
      <a:srgbClr val="FFFFFF"/>
    </a:solidFill>
    <a:ln w="9360">
      <a:noFill/>
      <a:round/>
    </a:ln>
  </c:spPr>
  <c:txPr>
    <a:bodyPr/>
    <a:lstStyle/>
    <a:p>
      <a:pPr>
        <a:defRPr>
          <a:latin typeface="Times New Roman" panose="02020603050405020304" pitchFamily="18" charset="0"/>
          <a:cs typeface="Times New Roman" panose="02020603050405020304" pitchFamily="18" charset="0"/>
        </a:defRPr>
      </a:pPr>
      <a:endParaRPr lang="en-GH"/>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400"/>
            </a:pPr>
            <a:r>
              <a:rPr lang="en-GB" sz="1400"/>
              <a:t>Cumulative Equity Distributions ($)</a:t>
            </a:r>
          </a:p>
        </c:rich>
      </c:tx>
      <c:overlay val="0"/>
      <c:spPr>
        <a:noFill/>
        <a:ln w="0">
          <a:noFill/>
        </a:ln>
      </c:spPr>
    </c:title>
    <c:autoTitleDeleted val="0"/>
    <c:plotArea>
      <c:layout/>
      <c:lineChart>
        <c:grouping val="standard"/>
        <c:varyColors val="0"/>
        <c:ser>
          <c:idx val="0"/>
          <c:order val="0"/>
          <c:tx>
            <c:strRef>
              <c:f>Waterfall!$B$14</c:f>
              <c:strCache>
                <c:ptCount val="1"/>
                <c:pt idx="0">
                  <c:v>Cumulative Equity Distributions ($)</c:v>
                </c:pt>
              </c:strCache>
            </c:strRef>
          </c:tx>
          <c:spPr>
            <a:ln w="38100">
              <a:solidFill>
                <a:srgbClr val="E9710D"/>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Waterfall!$C$7:$V$7</c:f>
              <c:numCache>
                <c:formatCode>\$#,##0</c:formatCode>
                <c:ptCount val="20"/>
                <c:pt idx="0">
                  <c:v>24293734.273869947</c:v>
                </c:pt>
                <c:pt idx="1">
                  <c:v>14409116.467327464</c:v>
                </c:pt>
                <c:pt idx="2">
                  <c:v>13181182.448083326</c:v>
                </c:pt>
                <c:pt idx="3">
                  <c:v>12444794.055490013</c:v>
                </c:pt>
                <c:pt idx="4">
                  <c:v>10745180.71003215</c:v>
                </c:pt>
                <c:pt idx="5">
                  <c:v>10177118.504362665</c:v>
                </c:pt>
                <c:pt idx="6">
                  <c:v>9581549.3732280806</c:v>
                </c:pt>
                <c:pt idx="7">
                  <c:v>8957474.0957762673</c:v>
                </c:pt>
                <c:pt idx="8">
                  <c:v>8008314.6186860055</c:v>
                </c:pt>
                <c:pt idx="9">
                  <c:v>7324092.9349888191</c:v>
                </c:pt>
                <c:pt idx="10">
                  <c:v>6608159.9259938076</c:v>
                </c:pt>
                <c:pt idx="11">
                  <c:v>5859374.1651044264</c:v>
                </c:pt>
                <c:pt idx="12">
                  <c:v>5076555.6822755113</c:v>
                </c:pt>
                <c:pt idx="13">
                  <c:v>4258484.687818937</c:v>
                </c:pt>
                <c:pt idx="14">
                  <c:v>3403900.2542226985</c:v>
                </c:pt>
                <c:pt idx="15">
                  <c:v>2511498.9546053186</c:v>
                </c:pt>
                <c:pt idx="16">
                  <c:v>1579933.4563819021</c:v>
                </c:pt>
                <c:pt idx="17">
                  <c:v>607811.06867132336</c:v>
                </c:pt>
                <c:pt idx="18">
                  <c:v>-406307.75807367265</c:v>
                </c:pt>
                <c:pt idx="19">
                  <c:v>-1463910.9817822948</c:v>
                </c:pt>
              </c:numCache>
            </c:numRef>
          </c:cat>
          <c:val>
            <c:numRef>
              <c:f>Waterfall!$C$14:$V$14</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1"/>
          <c:extLst>
            <c:ext xmlns:c16="http://schemas.microsoft.com/office/drawing/2014/chart" uri="{C3380CC4-5D6E-409C-BE32-E72D297353CC}">
              <c16:uniqueId val="{00000000-9C14-BC42-A073-2649652D0ACC}"/>
            </c:ext>
          </c:extLst>
        </c:ser>
        <c:dLbls>
          <c:showLegendKey val="0"/>
          <c:showVal val="0"/>
          <c:showCatName val="0"/>
          <c:showSerName val="0"/>
          <c:showPercent val="0"/>
          <c:showBubbleSize val="0"/>
        </c:dLbls>
        <c:hiLowLines>
          <c:spPr>
            <a:ln w="0">
              <a:noFill/>
            </a:ln>
          </c:spPr>
        </c:hiLowLines>
        <c:smooth val="0"/>
        <c:axId val="78616982"/>
        <c:axId val="29805237"/>
      </c:lineChart>
      <c:catAx>
        <c:axId val="78616982"/>
        <c:scaling>
          <c:orientation val="minMax"/>
        </c:scaling>
        <c:delete val="0"/>
        <c:axPos val="b"/>
        <c:title>
          <c:tx>
            <c:rich>
              <a:bodyPr rot="0"/>
              <a:lstStyle/>
              <a:p>
                <a:pPr>
                  <a:defRPr/>
                </a:pPr>
                <a:r>
                  <a:rPr lang="en-GB"/>
                  <a:t>Period</a:t>
                </a:r>
              </a:p>
            </c:rich>
          </c:tx>
          <c:overlay val="0"/>
          <c:spPr>
            <a:noFill/>
            <a:ln w="0">
              <a:noFill/>
            </a:ln>
          </c:spPr>
        </c:title>
        <c:numFmt formatCode="\$#,##0" sourceLinked="1"/>
        <c:majorTickMark val="none"/>
        <c:minorTickMark val="none"/>
        <c:tickLblPos val="nextTo"/>
        <c:spPr>
          <a:ln w="9360">
            <a:solidFill>
              <a:srgbClr val="878787"/>
            </a:solidFill>
            <a:round/>
          </a:ln>
        </c:spPr>
        <c:crossAx val="29805237"/>
        <c:crosses val="autoZero"/>
        <c:auto val="1"/>
        <c:lblAlgn val="ctr"/>
        <c:lblOffset val="100"/>
        <c:noMultiLvlLbl val="0"/>
      </c:catAx>
      <c:valAx>
        <c:axId val="29805237"/>
        <c:scaling>
          <c:orientation val="minMax"/>
        </c:scaling>
        <c:delete val="0"/>
        <c:axPos val="l"/>
        <c:title>
          <c:tx>
            <c:rich>
              <a:bodyPr rot="-5400000"/>
              <a:lstStyle/>
              <a:p>
                <a:pPr>
                  <a:defRPr/>
                </a:pPr>
                <a:r>
                  <a:rPr lang="en-GB"/>
                  <a:t>USD</a:t>
                </a:r>
              </a:p>
            </c:rich>
          </c:tx>
          <c:overlay val="0"/>
          <c:spPr>
            <a:noFill/>
            <a:ln w="0">
              <a:noFill/>
            </a:ln>
          </c:spPr>
        </c:title>
        <c:numFmt formatCode="\$#,##0" sourceLinked="1"/>
        <c:majorTickMark val="none"/>
        <c:minorTickMark val="none"/>
        <c:tickLblPos val="nextTo"/>
        <c:spPr>
          <a:ln w="9360">
            <a:solidFill>
              <a:srgbClr val="878787"/>
            </a:solidFill>
            <a:round/>
          </a:ln>
        </c:spPr>
        <c:crossAx val="78616982"/>
        <c:crosses val="autoZero"/>
        <c:crossBetween val="between"/>
      </c:valAx>
      <c:spPr>
        <a:noFill/>
        <a:ln w="0">
          <a:noFill/>
        </a:ln>
      </c:spPr>
    </c:plotArea>
    <c:legend>
      <c:legendPos val="r"/>
      <c:overlay val="0"/>
      <c:spPr>
        <a:noFill/>
        <a:ln w="0">
          <a:noFill/>
        </a:ln>
      </c:spPr>
    </c:legend>
    <c:plotVisOnly val="1"/>
    <c:dispBlanksAs val="gap"/>
    <c:showDLblsOverMax val="1"/>
  </c:chart>
  <c:spPr>
    <a:solidFill>
      <a:srgbClr val="FFFFFF"/>
    </a:solidFill>
    <a:ln w="9360">
      <a:noFill/>
      <a:round/>
    </a:ln>
  </c:spPr>
  <c:txPr>
    <a:bodyPr/>
    <a:lstStyle/>
    <a:p>
      <a:pPr>
        <a:defRPr>
          <a:latin typeface="Times New Roman" panose="02020603050405020304" pitchFamily="18" charset="0"/>
          <a:cs typeface="Times New Roman" panose="02020603050405020304" pitchFamily="18" charset="0"/>
        </a:defRPr>
      </a:pPr>
      <a:endParaRPr lang="en-GH"/>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400"/>
            </a:pPr>
            <a:r>
              <a:rPr lang="en-GB" sz="1400"/>
              <a:t>Product Mix (% of Output)</a:t>
            </a:r>
          </a:p>
        </c:rich>
      </c:tx>
      <c:overlay val="0"/>
      <c:spPr>
        <a:noFill/>
        <a:ln w="0">
          <a:noFill/>
        </a:ln>
      </c:spPr>
    </c:title>
    <c:autoTitleDeleted val="0"/>
    <c:plotArea>
      <c:layout/>
      <c:pieChart>
        <c:varyColors val="1"/>
        <c:ser>
          <c:idx val="0"/>
          <c:order val="0"/>
          <c:spPr>
            <a:solidFill>
              <a:srgbClr val="4F81BD"/>
            </a:solidFill>
            <a:ln w="0">
              <a:noFill/>
            </a:ln>
          </c:spPr>
          <c:dPt>
            <c:idx val="0"/>
            <c:bubble3D val="0"/>
            <c:spPr>
              <a:solidFill>
                <a:srgbClr val="002060"/>
              </a:solidFill>
              <a:ln w="0">
                <a:noFill/>
              </a:ln>
            </c:spPr>
            <c:extLst>
              <c:ext xmlns:c16="http://schemas.microsoft.com/office/drawing/2014/chart" uri="{C3380CC4-5D6E-409C-BE32-E72D297353CC}">
                <c16:uniqueId val="{00000001-C0A1-CE45-943D-66D473D5356C}"/>
              </c:ext>
            </c:extLst>
          </c:dPt>
          <c:dPt>
            <c:idx val="1"/>
            <c:bubble3D val="0"/>
            <c:spPr>
              <a:solidFill>
                <a:srgbClr val="0E6B69"/>
              </a:solidFill>
              <a:ln w="0">
                <a:noFill/>
              </a:ln>
            </c:spPr>
            <c:extLst>
              <c:ext xmlns:c16="http://schemas.microsoft.com/office/drawing/2014/chart" uri="{C3380CC4-5D6E-409C-BE32-E72D297353CC}">
                <c16:uniqueId val="{00000003-C0A1-CE45-943D-66D473D5356C}"/>
              </c:ext>
            </c:extLst>
          </c:dPt>
          <c:dPt>
            <c:idx val="2"/>
            <c:bubble3D val="0"/>
            <c:spPr>
              <a:solidFill>
                <a:srgbClr val="E9710D"/>
              </a:solidFill>
              <a:ln w="0">
                <a:noFill/>
              </a:ln>
            </c:spPr>
            <c:extLst>
              <c:ext xmlns:c16="http://schemas.microsoft.com/office/drawing/2014/chart" uri="{C3380CC4-5D6E-409C-BE32-E72D297353CC}">
                <c16:uniqueId val="{00000005-C0A1-CE45-943D-66D473D5356C}"/>
              </c:ext>
            </c:extLst>
          </c:dPt>
          <c:dLbls>
            <c:dLbl>
              <c:idx val="0"/>
              <c:spPr/>
              <c:txPr>
                <a:bodyPr/>
                <a:lstStyle/>
                <a:p>
                  <a:pPr>
                    <a:defRPr sz="1100" b="1" i="1">
                      <a:solidFill>
                        <a:schemeClr val="bg1"/>
                      </a:solidFill>
                    </a:defRPr>
                  </a:pPr>
                  <a:endParaRPr lang="en-GH"/>
                </a:p>
              </c:txPr>
              <c:dLblPos val="ctr"/>
              <c:showLegendKey val="0"/>
              <c:showVal val="0"/>
              <c:showCatName val="0"/>
              <c:showSerName val="0"/>
              <c:showPercent val="1"/>
              <c:showBubbleSize val="1"/>
              <c:extLst>
                <c:ext xmlns:c16="http://schemas.microsoft.com/office/drawing/2014/chart" uri="{C3380CC4-5D6E-409C-BE32-E72D297353CC}">
                  <c16:uniqueId val="{00000001-C0A1-CE45-943D-66D473D5356C}"/>
                </c:ext>
              </c:extLst>
            </c:dLbl>
            <c:dLbl>
              <c:idx val="1"/>
              <c:spPr/>
              <c:txPr>
                <a:bodyPr/>
                <a:lstStyle/>
                <a:p>
                  <a:pPr>
                    <a:defRPr sz="1100" b="1" i="1">
                      <a:solidFill>
                        <a:schemeClr val="bg1"/>
                      </a:solidFill>
                    </a:defRPr>
                  </a:pPr>
                  <a:endParaRPr lang="en-GH"/>
                </a:p>
              </c:txPr>
              <c:dLblPos val="ctr"/>
              <c:showLegendKey val="0"/>
              <c:showVal val="0"/>
              <c:showCatName val="0"/>
              <c:showSerName val="0"/>
              <c:showPercent val="1"/>
              <c:showBubbleSize val="1"/>
              <c:extLst>
                <c:ext xmlns:c16="http://schemas.microsoft.com/office/drawing/2014/chart" uri="{C3380CC4-5D6E-409C-BE32-E72D297353CC}">
                  <c16:uniqueId val="{00000003-C0A1-CE45-943D-66D473D5356C}"/>
                </c:ext>
              </c:extLst>
            </c:dLbl>
            <c:dLbl>
              <c:idx val="2"/>
              <c:spPr/>
              <c:txPr>
                <a:bodyPr/>
                <a:lstStyle/>
                <a:p>
                  <a:pPr>
                    <a:defRPr sz="1100" b="1" i="1">
                      <a:solidFill>
                        <a:schemeClr val="bg1"/>
                      </a:solidFill>
                    </a:defRPr>
                  </a:pPr>
                  <a:endParaRPr lang="en-GH"/>
                </a:p>
              </c:txPr>
              <c:dLblPos val="ctr"/>
              <c:showLegendKey val="0"/>
              <c:showVal val="0"/>
              <c:showCatName val="0"/>
              <c:showSerName val="0"/>
              <c:showPercent val="1"/>
              <c:showBubbleSize val="1"/>
              <c:extLst>
                <c:ext xmlns:c16="http://schemas.microsoft.com/office/drawing/2014/chart" uri="{C3380CC4-5D6E-409C-BE32-E72D297353CC}">
                  <c16:uniqueId val="{00000005-C0A1-CE45-943D-66D473D5356C}"/>
                </c:ext>
              </c:extLst>
            </c:dLbl>
            <c:spPr>
              <a:noFill/>
              <a:ln>
                <a:noFill/>
              </a:ln>
              <a:effectLst/>
            </c:spPr>
            <c:txPr>
              <a:bodyPr/>
              <a:lstStyle/>
              <a:p>
                <a:pPr>
                  <a:defRPr sz="1100" b="1" i="1">
                    <a:solidFill>
                      <a:schemeClr val="bg1"/>
                    </a:solidFill>
                  </a:defRPr>
                </a:pPr>
                <a:endParaRPr lang="en-GH"/>
              </a:p>
            </c:txPr>
            <c:dLblPos val="ct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Assumptions!$B$15:$B$17</c:f>
              <c:strCache>
                <c:ptCount val="3"/>
                <c:pt idx="0">
                  <c:v>Product mix — Cocoa liquor</c:v>
                </c:pt>
                <c:pt idx="1">
                  <c:v>Product mix — Cocoa butter</c:v>
                </c:pt>
                <c:pt idx="2">
                  <c:v>Product mix — Cocoa cake/powder</c:v>
                </c:pt>
              </c:strCache>
            </c:strRef>
          </c:cat>
          <c:val>
            <c:numRef>
              <c:f>Assumptions!$F$15:$F$17</c:f>
              <c:numCache>
                <c:formatCode>0%</c:formatCode>
                <c:ptCount val="3"/>
                <c:pt idx="0">
                  <c:v>0.4</c:v>
                </c:pt>
                <c:pt idx="1">
                  <c:v>0.3</c:v>
                </c:pt>
                <c:pt idx="2">
                  <c:v>0.3</c:v>
                </c:pt>
              </c:numCache>
            </c:numRef>
          </c:val>
          <c:extLst>
            <c:ext xmlns:c16="http://schemas.microsoft.com/office/drawing/2014/chart" uri="{C3380CC4-5D6E-409C-BE32-E72D297353CC}">
              <c16:uniqueId val="{00000006-C0A1-CE45-943D-66D473D5356C}"/>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legend>
    <c:plotVisOnly val="1"/>
    <c:dispBlanksAs val="gap"/>
    <c:showDLblsOverMax val="1"/>
  </c:chart>
  <c:spPr>
    <a:solidFill>
      <a:srgbClr val="FFFFFF"/>
    </a:solidFill>
    <a:ln w="9360">
      <a:noFill/>
      <a:round/>
    </a:ln>
  </c:spPr>
  <c:txPr>
    <a:bodyPr/>
    <a:lstStyle/>
    <a:p>
      <a:pPr>
        <a:defRPr>
          <a:latin typeface="Times New Roman" panose="02020603050405020304" pitchFamily="18" charset="0"/>
          <a:cs typeface="Times New Roman" panose="02020603050405020304" pitchFamily="18" charset="0"/>
        </a:defRPr>
      </a:pPr>
      <a:endParaRPr lang="en-GH"/>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400"/>
            </a:pPr>
            <a:r>
              <a:rPr lang="en-GB" sz="1400"/>
              <a:t>Senior Debt Opening Balance by Period ($)</a:t>
            </a:r>
          </a:p>
        </c:rich>
      </c:tx>
      <c:overlay val="0"/>
      <c:spPr>
        <a:noFill/>
        <a:ln w="0">
          <a:noFill/>
        </a:ln>
      </c:spPr>
    </c:title>
    <c:autoTitleDeleted val="0"/>
    <c:plotArea>
      <c:layout/>
      <c:barChart>
        <c:barDir val="col"/>
        <c:grouping val="clustered"/>
        <c:varyColors val="0"/>
        <c:ser>
          <c:idx val="0"/>
          <c:order val="0"/>
          <c:tx>
            <c:strRef>
              <c:f>Debt!$B$8</c:f>
              <c:strCache>
                <c:ptCount val="1"/>
                <c:pt idx="0">
                  <c:v>Opening Debt Balance ($)</c:v>
                </c:pt>
              </c:strCache>
            </c:strRef>
          </c:tx>
          <c:spPr>
            <a:solidFill>
              <a:srgbClr val="002060"/>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Debt!$C$7:$V$7</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Debt!$C$8:$V$8</c:f>
              <c:numCache>
                <c:formatCode>\$#,##0</c:formatCode>
                <c:ptCount val="20"/>
                <c:pt idx="0">
                  <c:v>126530823.25658485</c:v>
                </c:pt>
                <c:pt idx="1">
                  <c:v>113853549.45829575</c:v>
                </c:pt>
                <c:pt idx="2">
                  <c:v>108177657.31346674</c:v>
                </c:pt>
                <c:pt idx="3">
                  <c:v>103176724.92194617</c:v>
                </c:pt>
                <c:pt idx="4">
                  <c:v>98504700.851515532</c:v>
                </c:pt>
                <c:pt idx="5">
                  <c:v>94918150.518860862</c:v>
                </c:pt>
                <c:pt idx="6">
                  <c:v>91598209.97284317</c:v>
                </c:pt>
                <c:pt idx="7">
                  <c:v>88578702.351762384</c:v>
                </c:pt>
                <c:pt idx="8">
                  <c:v>85895826.024412423</c:v>
                </c:pt>
                <c:pt idx="9">
                  <c:v>83815635.746198162</c:v>
                </c:pt>
                <c:pt idx="10">
                  <c:v>82162960.801843479</c:v>
                </c:pt>
                <c:pt idx="11">
                  <c:v>80982501.49685888</c:v>
                </c:pt>
                <c:pt idx="12">
                  <c:v>80321959.421725497</c:v>
                </c:pt>
                <c:pt idx="13">
                  <c:v>80232209.661737829</c:v>
                </c:pt>
                <c:pt idx="14">
                  <c:v>80232209.661737829</c:v>
                </c:pt>
                <c:pt idx="15">
                  <c:v>80232209.661737829</c:v>
                </c:pt>
                <c:pt idx="16">
                  <c:v>80232209.661737829</c:v>
                </c:pt>
                <c:pt idx="17">
                  <c:v>80232209.661737829</c:v>
                </c:pt>
                <c:pt idx="18">
                  <c:v>80232209.661737829</c:v>
                </c:pt>
                <c:pt idx="19">
                  <c:v>80232209.661737829</c:v>
                </c:pt>
              </c:numCache>
            </c:numRef>
          </c:val>
          <c:extLst>
            <c:ext xmlns:c16="http://schemas.microsoft.com/office/drawing/2014/chart" uri="{C3380CC4-5D6E-409C-BE32-E72D297353CC}">
              <c16:uniqueId val="{00000000-5B9F-174E-9524-F4DA8C34FA1E}"/>
            </c:ext>
          </c:extLst>
        </c:ser>
        <c:dLbls>
          <c:showLegendKey val="0"/>
          <c:showVal val="0"/>
          <c:showCatName val="0"/>
          <c:showSerName val="0"/>
          <c:showPercent val="0"/>
          <c:showBubbleSize val="0"/>
        </c:dLbls>
        <c:gapWidth val="150"/>
        <c:axId val="83121767"/>
        <c:axId val="43660900"/>
      </c:barChart>
      <c:catAx>
        <c:axId val="83121767"/>
        <c:scaling>
          <c:orientation val="minMax"/>
        </c:scaling>
        <c:delete val="0"/>
        <c:axPos val="b"/>
        <c:numFmt formatCode="0" sourceLinked="1"/>
        <c:majorTickMark val="none"/>
        <c:minorTickMark val="none"/>
        <c:tickLblPos val="nextTo"/>
        <c:spPr>
          <a:ln w="9360">
            <a:solidFill>
              <a:srgbClr val="878787"/>
            </a:solidFill>
            <a:round/>
          </a:ln>
        </c:spPr>
        <c:crossAx val="43660900"/>
        <c:crosses val="autoZero"/>
        <c:auto val="1"/>
        <c:lblAlgn val="ctr"/>
        <c:lblOffset val="100"/>
        <c:noMultiLvlLbl val="0"/>
      </c:catAx>
      <c:valAx>
        <c:axId val="43660900"/>
        <c:scaling>
          <c:orientation val="minMax"/>
        </c:scaling>
        <c:delete val="0"/>
        <c:axPos val="l"/>
        <c:title>
          <c:tx>
            <c:rich>
              <a:bodyPr rot="-5400000"/>
              <a:lstStyle/>
              <a:p>
                <a:pPr>
                  <a:defRPr/>
                </a:pPr>
                <a:r>
                  <a:rPr lang="en-GB"/>
                  <a:t>USD</a:t>
                </a:r>
              </a:p>
            </c:rich>
          </c:tx>
          <c:overlay val="0"/>
          <c:spPr>
            <a:noFill/>
            <a:ln w="0">
              <a:noFill/>
            </a:ln>
          </c:spPr>
        </c:title>
        <c:numFmt formatCode="\$#,##0" sourceLinked="1"/>
        <c:majorTickMark val="none"/>
        <c:minorTickMark val="none"/>
        <c:tickLblPos val="nextTo"/>
        <c:spPr>
          <a:ln w="9360">
            <a:solidFill>
              <a:srgbClr val="878787"/>
            </a:solidFill>
            <a:round/>
          </a:ln>
        </c:spPr>
        <c:crossAx val="83121767"/>
        <c:crosses val="autoZero"/>
        <c:crossBetween val="between"/>
      </c:valAx>
      <c:spPr>
        <a:noFill/>
        <a:ln w="0">
          <a:noFill/>
        </a:ln>
      </c:spPr>
    </c:plotArea>
    <c:legend>
      <c:legendPos val="r"/>
      <c:overlay val="0"/>
      <c:spPr>
        <a:noFill/>
        <a:ln w="0">
          <a:noFill/>
        </a:ln>
      </c:spPr>
    </c:legend>
    <c:plotVisOnly val="1"/>
    <c:dispBlanksAs val="gap"/>
    <c:showDLblsOverMax val="1"/>
  </c:chart>
  <c:spPr>
    <a:solidFill>
      <a:srgbClr val="FFFFFF"/>
    </a:solidFill>
    <a:ln w="9360">
      <a:noFill/>
      <a:round/>
    </a:ln>
  </c:spPr>
  <c:txPr>
    <a:bodyPr/>
    <a:lstStyle/>
    <a:p>
      <a:pPr>
        <a:defRPr>
          <a:latin typeface="Times New Roman" panose="02020603050405020304" pitchFamily="18" charset="0"/>
          <a:cs typeface="Times New Roman" panose="02020603050405020304" pitchFamily="18" charset="0"/>
        </a:defRPr>
      </a:pPr>
      <a:endParaRPr lang="en-GH"/>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400"/>
            </a:pPr>
            <a:r>
              <a:rPr lang="en-GB" sz="1400"/>
              <a:t>Capital Structure Amortisation — Senior + Mezzanine Opening Balances ($)</a:t>
            </a:r>
          </a:p>
        </c:rich>
      </c:tx>
      <c:overlay val="0"/>
      <c:spPr>
        <a:noFill/>
        <a:ln w="0">
          <a:noFill/>
        </a:ln>
      </c:spPr>
    </c:title>
    <c:autoTitleDeleted val="0"/>
    <c:plotArea>
      <c:layout/>
      <c:barChart>
        <c:barDir val="col"/>
        <c:grouping val="stacked"/>
        <c:varyColors val="0"/>
        <c:ser>
          <c:idx val="0"/>
          <c:order val="0"/>
          <c:tx>
            <c:strRef>
              <c:f>Debt!$B$8</c:f>
              <c:strCache>
                <c:ptCount val="1"/>
                <c:pt idx="0">
                  <c:v>Opening Debt Balance ($)</c:v>
                </c:pt>
              </c:strCache>
            </c:strRef>
          </c:tx>
          <c:spPr>
            <a:solidFill>
              <a:srgbClr val="0E6B69"/>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Debt!$C$7:$V$7</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Debt!$C$8:$V$8</c:f>
              <c:numCache>
                <c:formatCode>\$#,##0</c:formatCode>
                <c:ptCount val="20"/>
                <c:pt idx="0">
                  <c:v>126530823.25658485</c:v>
                </c:pt>
                <c:pt idx="1">
                  <c:v>113853549.45829575</c:v>
                </c:pt>
                <c:pt idx="2">
                  <c:v>108177657.31346674</c:v>
                </c:pt>
                <c:pt idx="3">
                  <c:v>103176724.92194617</c:v>
                </c:pt>
                <c:pt idx="4">
                  <c:v>98504700.851515532</c:v>
                </c:pt>
                <c:pt idx="5">
                  <c:v>94918150.518860862</c:v>
                </c:pt>
                <c:pt idx="6">
                  <c:v>91598209.97284317</c:v>
                </c:pt>
                <c:pt idx="7">
                  <c:v>88578702.351762384</c:v>
                </c:pt>
                <c:pt idx="8">
                  <c:v>85895826.024412423</c:v>
                </c:pt>
                <c:pt idx="9">
                  <c:v>83815635.746198162</c:v>
                </c:pt>
                <c:pt idx="10">
                  <c:v>82162960.801843479</c:v>
                </c:pt>
                <c:pt idx="11">
                  <c:v>80982501.49685888</c:v>
                </c:pt>
                <c:pt idx="12">
                  <c:v>80321959.421725497</c:v>
                </c:pt>
                <c:pt idx="13">
                  <c:v>80232209.661737829</c:v>
                </c:pt>
                <c:pt idx="14">
                  <c:v>80232209.661737829</c:v>
                </c:pt>
                <c:pt idx="15">
                  <c:v>80232209.661737829</c:v>
                </c:pt>
                <c:pt idx="16">
                  <c:v>80232209.661737829</c:v>
                </c:pt>
                <c:pt idx="17">
                  <c:v>80232209.661737829</c:v>
                </c:pt>
                <c:pt idx="18">
                  <c:v>80232209.661737829</c:v>
                </c:pt>
                <c:pt idx="19">
                  <c:v>80232209.661737829</c:v>
                </c:pt>
              </c:numCache>
            </c:numRef>
          </c:val>
          <c:extLst>
            <c:ext xmlns:c16="http://schemas.microsoft.com/office/drawing/2014/chart" uri="{C3380CC4-5D6E-409C-BE32-E72D297353CC}">
              <c16:uniqueId val="{00000000-E7F7-E845-891F-7D91C169E705}"/>
            </c:ext>
          </c:extLst>
        </c:ser>
        <c:ser>
          <c:idx val="1"/>
          <c:order val="1"/>
          <c:tx>
            <c:strRef>
              <c:f>Debt!$B$35</c:f>
              <c:strCache>
                <c:ptCount val="1"/>
                <c:pt idx="0">
                  <c:v>Opening Mezzanine Balance ($)</c:v>
                </c:pt>
              </c:strCache>
            </c:strRef>
          </c:tx>
          <c:spPr>
            <a:solidFill>
              <a:srgbClr val="E9710D"/>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Debt!$C$7:$V$7</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Debt!$C$35:$V$35</c:f>
              <c:numCache>
                <c:formatCode>\$#,##0</c:formatCode>
                <c:ptCount val="20"/>
                <c:pt idx="0">
                  <c:v>32212322.577479877</c:v>
                </c:pt>
                <c:pt idx="1">
                  <c:v>31960416.368371516</c:v>
                </c:pt>
                <c:pt idx="2">
                  <c:v>24800130.389133103</c:v>
                </c:pt>
                <c:pt idx="3">
                  <c:v>24186106.819072302</c:v>
                </c:pt>
                <c:pt idx="4">
                  <c:v>24191449.218301393</c:v>
                </c:pt>
                <c:pt idx="5">
                  <c:v>25799625.144193582</c:v>
                </c:pt>
                <c:pt idx="6">
                  <c:v>26779723.072568428</c:v>
                </c:pt>
                <c:pt idx="7">
                  <c:v>28402375.278022729</c:v>
                </c:pt>
                <c:pt idx="8">
                  <c:v>29827997.679350197</c:v>
                </c:pt>
                <c:pt idx="9">
                  <c:v>31725235.163501184</c:v>
                </c:pt>
                <c:pt idx="10">
                  <c:v>33739637.120272368</c:v>
                </c:pt>
                <c:pt idx="11">
                  <c:v>36101411.718691431</c:v>
                </c:pt>
                <c:pt idx="12">
                  <c:v>38628510.538999833</c:v>
                </c:pt>
                <c:pt idx="13">
                  <c:v>41332506.276729822</c:v>
                </c:pt>
                <c:pt idx="14">
                  <c:v>44225781.716100909</c:v>
                </c:pt>
                <c:pt idx="15">
                  <c:v>47321586.43622797</c:v>
                </c:pt>
                <c:pt idx="16">
                  <c:v>50634097.486763924</c:v>
                </c:pt>
                <c:pt idx="17">
                  <c:v>54178484.310837403</c:v>
                </c:pt>
                <c:pt idx="18">
                  <c:v>57970978.212596022</c:v>
                </c:pt>
                <c:pt idx="19">
                  <c:v>62028946.687477745</c:v>
                </c:pt>
              </c:numCache>
            </c:numRef>
          </c:val>
          <c:extLst>
            <c:ext xmlns:c16="http://schemas.microsoft.com/office/drawing/2014/chart" uri="{C3380CC4-5D6E-409C-BE32-E72D297353CC}">
              <c16:uniqueId val="{00000001-E7F7-E845-891F-7D91C169E705}"/>
            </c:ext>
          </c:extLst>
        </c:ser>
        <c:dLbls>
          <c:showLegendKey val="0"/>
          <c:showVal val="0"/>
          <c:showCatName val="0"/>
          <c:showSerName val="0"/>
          <c:showPercent val="0"/>
          <c:showBubbleSize val="0"/>
        </c:dLbls>
        <c:gapWidth val="150"/>
        <c:overlap val="100"/>
        <c:axId val="35142382"/>
        <c:axId val="17732445"/>
      </c:barChart>
      <c:catAx>
        <c:axId val="35142382"/>
        <c:scaling>
          <c:orientation val="minMax"/>
        </c:scaling>
        <c:delete val="0"/>
        <c:axPos val="b"/>
        <c:numFmt formatCode="0" sourceLinked="1"/>
        <c:majorTickMark val="none"/>
        <c:minorTickMark val="none"/>
        <c:tickLblPos val="nextTo"/>
        <c:spPr>
          <a:ln w="9360">
            <a:solidFill>
              <a:srgbClr val="878787"/>
            </a:solidFill>
            <a:round/>
          </a:ln>
        </c:spPr>
        <c:crossAx val="17732445"/>
        <c:crosses val="autoZero"/>
        <c:auto val="1"/>
        <c:lblAlgn val="ctr"/>
        <c:lblOffset val="100"/>
        <c:noMultiLvlLbl val="0"/>
      </c:catAx>
      <c:valAx>
        <c:axId val="17732445"/>
        <c:scaling>
          <c:orientation val="minMax"/>
        </c:scaling>
        <c:delete val="0"/>
        <c:axPos val="l"/>
        <c:title>
          <c:tx>
            <c:rich>
              <a:bodyPr rot="-5400000"/>
              <a:lstStyle/>
              <a:p>
                <a:pPr>
                  <a:defRPr/>
                </a:pPr>
                <a:r>
                  <a:rPr lang="en-GB"/>
                  <a:t>USD</a:t>
                </a:r>
              </a:p>
            </c:rich>
          </c:tx>
          <c:overlay val="0"/>
          <c:spPr>
            <a:noFill/>
            <a:ln w="0">
              <a:noFill/>
            </a:ln>
          </c:spPr>
        </c:title>
        <c:numFmt formatCode="\$#,##0" sourceLinked="1"/>
        <c:majorTickMark val="none"/>
        <c:minorTickMark val="none"/>
        <c:tickLblPos val="nextTo"/>
        <c:spPr>
          <a:ln w="9360">
            <a:solidFill>
              <a:srgbClr val="878787"/>
            </a:solidFill>
            <a:round/>
          </a:ln>
        </c:spPr>
        <c:crossAx val="35142382"/>
        <c:crosses val="autoZero"/>
        <c:crossBetween val="between"/>
      </c:valAx>
      <c:spPr>
        <a:noFill/>
        <a:ln w="0">
          <a:noFill/>
        </a:ln>
      </c:spPr>
    </c:plotArea>
    <c:legend>
      <c:legendPos val="r"/>
      <c:overlay val="0"/>
      <c:spPr>
        <a:noFill/>
        <a:ln w="0">
          <a:noFill/>
        </a:ln>
      </c:spPr>
    </c:legend>
    <c:plotVisOnly val="1"/>
    <c:dispBlanksAs val="gap"/>
    <c:showDLblsOverMax val="1"/>
  </c:chart>
  <c:spPr>
    <a:solidFill>
      <a:srgbClr val="FFFFFF"/>
    </a:solidFill>
    <a:ln w="9360">
      <a:noFill/>
      <a:round/>
    </a:ln>
  </c:spPr>
  <c:txPr>
    <a:bodyPr/>
    <a:lstStyle/>
    <a:p>
      <a:pPr>
        <a:defRPr>
          <a:latin typeface="Times New Roman" panose="02020603050405020304" pitchFamily="18" charset="0"/>
          <a:cs typeface="Times New Roman" panose="02020603050405020304" pitchFamily="18" charset="0"/>
        </a:defRPr>
      </a:pPr>
      <a:endParaRPr lang="en-GH"/>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400"/>
            </a:pPr>
            <a:r>
              <a:rPr lang="en-GB" sz="1400"/>
              <a:t>Working-Capital Revolver Closing Balance by Period ($)</a:t>
            </a:r>
          </a:p>
        </c:rich>
      </c:tx>
      <c:overlay val="0"/>
      <c:spPr>
        <a:noFill/>
        <a:ln w="0">
          <a:noFill/>
        </a:ln>
      </c:spPr>
    </c:title>
    <c:autoTitleDeleted val="0"/>
    <c:plotArea>
      <c:layout/>
      <c:barChart>
        <c:barDir val="col"/>
        <c:grouping val="clustered"/>
        <c:varyColors val="0"/>
        <c:ser>
          <c:idx val="0"/>
          <c:order val="0"/>
          <c:tx>
            <c:strRef>
              <c:f>WorkingCap!$B$17</c:f>
              <c:strCache>
                <c:ptCount val="1"/>
                <c:pt idx="0">
                  <c:v>Closing Revolver Balance ($)</c:v>
                </c:pt>
              </c:strCache>
            </c:strRef>
          </c:tx>
          <c:spPr>
            <a:solidFill>
              <a:srgbClr val="0E6B69"/>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Debt!$C$7:$V$7</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WorkingCap!$C$17:$V$17</c:f>
              <c:numCache>
                <c:formatCode>\$#,##0</c:formatCode>
                <c:ptCount val="20"/>
                <c:pt idx="0">
                  <c:v>11623244.783895737</c:v>
                </c:pt>
                <c:pt idx="1">
                  <c:v>12936828.642626446</c:v>
                </c:pt>
                <c:pt idx="2">
                  <c:v>14831049.833846584</c:v>
                </c:pt>
                <c:pt idx="3">
                  <c:v>13441897.299674867</c:v>
                </c:pt>
                <c:pt idx="4">
                  <c:v>15000000</c:v>
                </c:pt>
                <c:pt idx="5">
                  <c:v>13250414.386975948</c:v>
                </c:pt>
                <c:pt idx="6">
                  <c:v>15000000</c:v>
                </c:pt>
                <c:pt idx="7">
                  <c:v>13128014.926757962</c:v>
                </c:pt>
                <c:pt idx="8">
                  <c:v>15000000</c:v>
                </c:pt>
                <c:pt idx="9">
                  <c:v>12997328.773299742</c:v>
                </c:pt>
                <c:pt idx="10">
                  <c:v>15000000</c:v>
                </c:pt>
                <c:pt idx="11">
                  <c:v>12857800.692342337</c:v>
                </c:pt>
                <c:pt idx="12">
                  <c:v>15000000</c:v>
                </c:pt>
                <c:pt idx="13">
                  <c:v>12708838.372672513</c:v>
                </c:pt>
                <c:pt idx="14">
                  <c:v>15000000</c:v>
                </c:pt>
                <c:pt idx="15">
                  <c:v>12549809.952976543</c:v>
                </c:pt>
                <c:pt idx="16">
                  <c:v>15000000</c:v>
                </c:pt>
                <c:pt idx="17">
                  <c:v>12380041.383787595</c:v>
                </c:pt>
                <c:pt idx="18">
                  <c:v>15000000</c:v>
                </c:pt>
                <c:pt idx="19">
                  <c:v>12198813.613532886</c:v>
                </c:pt>
              </c:numCache>
            </c:numRef>
          </c:val>
          <c:extLst>
            <c:ext xmlns:c16="http://schemas.microsoft.com/office/drawing/2014/chart" uri="{C3380CC4-5D6E-409C-BE32-E72D297353CC}">
              <c16:uniqueId val="{00000000-240C-9C4C-ADFC-B7D660CAD50E}"/>
            </c:ext>
          </c:extLst>
        </c:ser>
        <c:dLbls>
          <c:showLegendKey val="0"/>
          <c:showVal val="0"/>
          <c:showCatName val="0"/>
          <c:showSerName val="0"/>
          <c:showPercent val="0"/>
          <c:showBubbleSize val="0"/>
        </c:dLbls>
        <c:gapWidth val="150"/>
        <c:axId val="40482523"/>
        <c:axId val="25149489"/>
      </c:barChart>
      <c:catAx>
        <c:axId val="40482523"/>
        <c:scaling>
          <c:orientation val="minMax"/>
        </c:scaling>
        <c:delete val="0"/>
        <c:axPos val="b"/>
        <c:numFmt formatCode="0" sourceLinked="1"/>
        <c:majorTickMark val="none"/>
        <c:minorTickMark val="none"/>
        <c:tickLblPos val="nextTo"/>
        <c:spPr>
          <a:ln w="9360">
            <a:solidFill>
              <a:srgbClr val="878787"/>
            </a:solidFill>
            <a:round/>
          </a:ln>
        </c:spPr>
        <c:crossAx val="25149489"/>
        <c:crosses val="autoZero"/>
        <c:auto val="1"/>
        <c:lblAlgn val="ctr"/>
        <c:lblOffset val="100"/>
        <c:noMultiLvlLbl val="0"/>
      </c:catAx>
      <c:valAx>
        <c:axId val="25149489"/>
        <c:scaling>
          <c:orientation val="minMax"/>
        </c:scaling>
        <c:delete val="0"/>
        <c:axPos val="l"/>
        <c:title>
          <c:tx>
            <c:rich>
              <a:bodyPr rot="-5400000"/>
              <a:lstStyle/>
              <a:p>
                <a:pPr>
                  <a:defRPr/>
                </a:pPr>
                <a:r>
                  <a:rPr lang="en-GB"/>
                  <a:t>USD</a:t>
                </a:r>
              </a:p>
            </c:rich>
          </c:tx>
          <c:overlay val="0"/>
          <c:spPr>
            <a:noFill/>
            <a:ln w="0">
              <a:noFill/>
            </a:ln>
          </c:spPr>
        </c:title>
        <c:numFmt formatCode="\$#,##0" sourceLinked="1"/>
        <c:majorTickMark val="none"/>
        <c:minorTickMark val="none"/>
        <c:tickLblPos val="nextTo"/>
        <c:spPr>
          <a:ln w="9360">
            <a:solidFill>
              <a:srgbClr val="878787"/>
            </a:solidFill>
            <a:round/>
          </a:ln>
        </c:spPr>
        <c:crossAx val="40482523"/>
        <c:crosses val="autoZero"/>
        <c:crossBetween val="between"/>
      </c:valAx>
      <c:spPr>
        <a:noFill/>
        <a:ln w="0">
          <a:noFill/>
        </a:ln>
      </c:spPr>
    </c:plotArea>
    <c:legend>
      <c:legendPos val="r"/>
      <c:overlay val="0"/>
      <c:spPr>
        <a:noFill/>
        <a:ln w="0">
          <a:noFill/>
        </a:ln>
      </c:spPr>
    </c:legend>
    <c:plotVisOnly val="1"/>
    <c:dispBlanksAs val="gap"/>
    <c:showDLblsOverMax val="1"/>
  </c:chart>
  <c:spPr>
    <a:solidFill>
      <a:srgbClr val="FFFFFF"/>
    </a:solidFill>
    <a:ln w="9360">
      <a:noFill/>
      <a:round/>
    </a:ln>
  </c:spPr>
  <c:txPr>
    <a:bodyPr/>
    <a:lstStyle/>
    <a:p>
      <a:pPr>
        <a:defRPr>
          <a:latin typeface="Times New Roman" panose="02020603050405020304" pitchFamily="18" charset="0"/>
          <a:cs typeface="Times New Roman" panose="02020603050405020304" pitchFamily="18" charset="0"/>
        </a:defRPr>
      </a:pPr>
      <a:endParaRPr lang="en-GH"/>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400"/>
            </a:pPr>
            <a:r>
              <a:rPr lang="en-GB" sz="1400"/>
              <a:t>Senior Leverage (Debt/EBITDA) vs. Covenant Maximum (x)</a:t>
            </a:r>
          </a:p>
        </c:rich>
      </c:tx>
      <c:overlay val="0"/>
      <c:spPr>
        <a:noFill/>
        <a:ln w="0">
          <a:noFill/>
        </a:ln>
      </c:spPr>
    </c:title>
    <c:autoTitleDeleted val="0"/>
    <c:plotArea>
      <c:layout/>
      <c:lineChart>
        <c:grouping val="standard"/>
        <c:varyColors val="0"/>
        <c:ser>
          <c:idx val="0"/>
          <c:order val="0"/>
          <c:tx>
            <c:strRef>
              <c:f>Debt!$B$44</c:f>
              <c:strCache>
                <c:ptCount val="1"/>
                <c:pt idx="0">
                  <c:v>Senior Leverage (Opening Senior Debt / Annualised EBITDA) (x)</c:v>
                </c:pt>
              </c:strCache>
            </c:strRef>
          </c:tx>
          <c:spPr>
            <a:ln w="38100">
              <a:solidFill>
                <a:srgbClr val="002060"/>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Debt!$C$7:$V$7</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Debt!$C$44:$V$44</c:f>
              <c:numCache>
                <c:formatCode>0.00\x</c:formatCode>
                <c:ptCount val="20"/>
                <c:pt idx="0">
                  <c:v>2.6041863681838309</c:v>
                </c:pt>
                <c:pt idx="1">
                  <c:v>3.9507470744808537</c:v>
                </c:pt>
                <c:pt idx="2">
                  <c:v>4.1034883531711088</c:v>
                </c:pt>
                <c:pt idx="3">
                  <c:v>4.1453769528805431</c:v>
                </c:pt>
                <c:pt idx="4">
                  <c:v>4.5836688795539482</c:v>
                </c:pt>
                <c:pt idx="5">
                  <c:v>4.6633116475047398</c:v>
                </c:pt>
                <c:pt idx="6">
                  <c:v>4.7799268367169718</c:v>
                </c:pt>
                <c:pt idx="7">
                  <c:v>4.9444018148782618</c:v>
                </c:pt>
                <c:pt idx="8">
                  <c:v>5.3629153020530369</c:v>
                </c:pt>
                <c:pt idx="9">
                  <c:v>5.7219123576239896</c:v>
                </c:pt>
                <c:pt idx="10">
                  <c:v>6.2167805956577933</c:v>
                </c:pt>
                <c:pt idx="11">
                  <c:v>6.9105077790688929</c:v>
                </c:pt>
                <c:pt idx="12">
                  <c:v>7.91106849297101</c:v>
                </c:pt>
                <c:pt idx="13">
                  <c:v>9.420276875861008</c:v>
                </c:pt>
                <c:pt idx="14">
                  <c:v>11.785335008304958</c:v>
                </c:pt>
                <c:pt idx="15">
                  <c:v>15.972972936066043</c:v>
                </c:pt>
                <c:pt idx="16">
                  <c:v>25.391009139546973</c:v>
                </c:pt>
                <c:pt idx="17">
                  <c:v>66.000944863611693</c:v>
                </c:pt>
                <c:pt idx="18">
                  <c:v>-98.733297688091326</c:v>
                </c:pt>
                <c:pt idx="19">
                  <c:v>-27.403377206739727</c:v>
                </c:pt>
              </c:numCache>
            </c:numRef>
          </c:val>
          <c:smooth val="1"/>
          <c:extLst>
            <c:ext xmlns:c16="http://schemas.microsoft.com/office/drawing/2014/chart" uri="{C3380CC4-5D6E-409C-BE32-E72D297353CC}">
              <c16:uniqueId val="{00000000-4643-BD49-B18E-EFB1AF7ED395}"/>
            </c:ext>
          </c:extLst>
        </c:ser>
        <c:ser>
          <c:idx val="1"/>
          <c:order val="1"/>
          <c:tx>
            <c:strRef>
              <c:f>Debt!$B$46</c:f>
              <c:strCache>
                <c:ptCount val="1"/>
                <c:pt idx="0">
                  <c:v>Maximum leverage covenant (x)</c:v>
                </c:pt>
              </c:strCache>
            </c:strRef>
          </c:tx>
          <c:spPr>
            <a:ln w="38100">
              <a:solidFill>
                <a:srgbClr val="E9710D"/>
              </a:solidFill>
              <a:prstDash val="dash"/>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Debt!$C$7:$V$7</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Debt!$C$46:$V$46</c:f>
              <c:numCache>
                <c:formatCode>0.00\x</c:formatCode>
                <c:ptCount val="20"/>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numCache>
            </c:numRef>
          </c:val>
          <c:smooth val="1"/>
          <c:extLst>
            <c:ext xmlns:c16="http://schemas.microsoft.com/office/drawing/2014/chart" uri="{C3380CC4-5D6E-409C-BE32-E72D297353CC}">
              <c16:uniqueId val="{00000001-4643-BD49-B18E-EFB1AF7ED395}"/>
            </c:ext>
          </c:extLst>
        </c:ser>
        <c:dLbls>
          <c:showLegendKey val="0"/>
          <c:showVal val="0"/>
          <c:showCatName val="0"/>
          <c:showSerName val="0"/>
          <c:showPercent val="0"/>
          <c:showBubbleSize val="0"/>
        </c:dLbls>
        <c:hiLowLines>
          <c:spPr>
            <a:ln w="0">
              <a:noFill/>
            </a:ln>
          </c:spPr>
        </c:hiLowLines>
        <c:smooth val="0"/>
        <c:axId val="17268330"/>
        <c:axId val="51869197"/>
      </c:lineChart>
      <c:catAx>
        <c:axId val="17268330"/>
        <c:scaling>
          <c:orientation val="minMax"/>
        </c:scaling>
        <c:delete val="0"/>
        <c:axPos val="b"/>
        <c:numFmt formatCode="0" sourceLinked="1"/>
        <c:majorTickMark val="none"/>
        <c:minorTickMark val="none"/>
        <c:tickLblPos val="nextTo"/>
        <c:spPr>
          <a:ln w="9360">
            <a:solidFill>
              <a:srgbClr val="878787"/>
            </a:solidFill>
            <a:round/>
          </a:ln>
        </c:spPr>
        <c:crossAx val="51869197"/>
        <c:crosses val="autoZero"/>
        <c:auto val="1"/>
        <c:lblAlgn val="ctr"/>
        <c:lblOffset val="100"/>
        <c:noMultiLvlLbl val="0"/>
      </c:catAx>
      <c:valAx>
        <c:axId val="51869197"/>
        <c:scaling>
          <c:orientation val="minMax"/>
        </c:scaling>
        <c:delete val="0"/>
        <c:axPos val="l"/>
        <c:title>
          <c:tx>
            <c:rich>
              <a:bodyPr rot="-5400000"/>
              <a:lstStyle/>
              <a:p>
                <a:pPr>
                  <a:defRPr/>
                </a:pPr>
                <a:r>
                  <a:rPr lang="en-GB"/>
                  <a:t>x</a:t>
                </a:r>
              </a:p>
            </c:rich>
          </c:tx>
          <c:overlay val="0"/>
          <c:spPr>
            <a:noFill/>
            <a:ln w="0">
              <a:noFill/>
            </a:ln>
          </c:spPr>
        </c:title>
        <c:numFmt formatCode="0.00\x" sourceLinked="1"/>
        <c:majorTickMark val="none"/>
        <c:minorTickMark val="none"/>
        <c:tickLblPos val="nextTo"/>
        <c:spPr>
          <a:ln w="9360">
            <a:solidFill>
              <a:srgbClr val="878787"/>
            </a:solidFill>
            <a:round/>
          </a:ln>
        </c:spPr>
        <c:crossAx val="17268330"/>
        <c:crosses val="autoZero"/>
        <c:crossBetween val="between"/>
      </c:valAx>
      <c:spPr>
        <a:noFill/>
        <a:ln w="0">
          <a:noFill/>
        </a:ln>
      </c:spPr>
    </c:plotArea>
    <c:legend>
      <c:legendPos val="r"/>
      <c:overlay val="0"/>
      <c:spPr>
        <a:noFill/>
        <a:ln w="0">
          <a:noFill/>
        </a:ln>
      </c:spPr>
    </c:legend>
    <c:plotVisOnly val="1"/>
    <c:dispBlanksAs val="gap"/>
    <c:showDLblsOverMax val="1"/>
  </c:chart>
  <c:spPr>
    <a:solidFill>
      <a:srgbClr val="FFFFFF"/>
    </a:solidFill>
    <a:ln w="9360">
      <a:noFill/>
      <a:round/>
    </a:ln>
  </c:spPr>
  <c:txPr>
    <a:bodyPr/>
    <a:lstStyle/>
    <a:p>
      <a:pPr>
        <a:defRPr>
          <a:latin typeface="Times New Roman" panose="02020603050405020304" pitchFamily="18" charset="0"/>
          <a:cs typeface="Times New Roman" panose="02020603050405020304" pitchFamily="18" charset="0"/>
        </a:defRPr>
      </a:pPr>
      <a:endParaRPr lang="en-GH"/>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14</xdr:col>
      <xdr:colOff>558800</xdr:colOff>
      <xdr:row>30</xdr:row>
      <xdr:rowOff>127000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34</xdr:row>
      <xdr:rowOff>90714</xdr:rowOff>
    </xdr:from>
    <xdr:to>
      <xdr:col>14</xdr:col>
      <xdr:colOff>558800</xdr:colOff>
      <xdr:row>60</xdr:row>
      <xdr:rowOff>36287</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65</xdr:row>
      <xdr:rowOff>90715</xdr:rowOff>
    </xdr:from>
    <xdr:to>
      <xdr:col>14</xdr:col>
      <xdr:colOff>558800</xdr:colOff>
      <xdr:row>91</xdr:row>
      <xdr:rowOff>36286</xdr:rowOff>
    </xdr:to>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281494</xdr:colOff>
      <xdr:row>96</xdr:row>
      <xdr:rowOff>30241</xdr:rowOff>
    </xdr:from>
    <xdr:to>
      <xdr:col>30</xdr:col>
      <xdr:colOff>112160</xdr:colOff>
      <xdr:row>121</xdr:row>
      <xdr:rowOff>66527</xdr:rowOff>
    </xdr:to>
    <xdr:graphicFrame macro="">
      <xdr:nvGraphicFramePr>
        <xdr:cNvPr id="5" name="Chart 4">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95</xdr:row>
      <xdr:rowOff>120956</xdr:rowOff>
    </xdr:from>
    <xdr:to>
      <xdr:col>14</xdr:col>
      <xdr:colOff>558800</xdr:colOff>
      <xdr:row>121</xdr:row>
      <xdr:rowOff>66527</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218599</xdr:colOff>
      <xdr:row>5</xdr:row>
      <xdr:rowOff>60476</xdr:rowOff>
    </xdr:from>
    <xdr:to>
      <xdr:col>30</xdr:col>
      <xdr:colOff>112160</xdr:colOff>
      <xdr:row>31</xdr:row>
      <xdr:rowOff>6047</xdr:rowOff>
    </xdr:to>
    <xdr:graphicFrame macro="">
      <xdr:nvGraphicFramePr>
        <xdr:cNvPr id="7" name="Chart 6">
          <a:extLst>
            <a:ext uri="{FF2B5EF4-FFF2-40B4-BE49-F238E27FC236}">
              <a16:creationId xmlns:a16="http://schemas.microsoft.com/office/drawing/2014/main" i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218599</xdr:colOff>
      <xdr:row>34</xdr:row>
      <xdr:rowOff>90714</xdr:rowOff>
    </xdr:from>
    <xdr:to>
      <xdr:col>30</xdr:col>
      <xdr:colOff>112160</xdr:colOff>
      <xdr:row>60</xdr:row>
      <xdr:rowOff>36287</xdr:rowOff>
    </xdr:to>
    <xdr:graphicFrame macro="">
      <xdr:nvGraphicFramePr>
        <xdr:cNvPr id="8" name="Chart 7">
          <a:extLst>
            <a:ext uri="{FF2B5EF4-FFF2-40B4-BE49-F238E27FC236}">
              <a16:creationId xmlns:a16="http://schemas.microsoft.com/office/drawing/2014/main" id="{00000000-0008-0000-0D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218599</xdr:colOff>
      <xdr:row>65</xdr:row>
      <xdr:rowOff>90715</xdr:rowOff>
    </xdr:from>
    <xdr:to>
      <xdr:col>30</xdr:col>
      <xdr:colOff>112160</xdr:colOff>
      <xdr:row>91</xdr:row>
      <xdr:rowOff>36286</xdr:rowOff>
    </xdr:to>
    <xdr:graphicFrame macro="">
      <xdr:nvGraphicFramePr>
        <xdr:cNvPr id="9" name="Chart 8">
          <a:extLst>
            <a:ext uri="{FF2B5EF4-FFF2-40B4-BE49-F238E27FC236}">
              <a16:creationId xmlns:a16="http://schemas.microsoft.com/office/drawing/2014/main" id="{00000000-0008-0000-0D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6B69"/>
  </sheetPr>
  <dimension ref="B2:H49"/>
  <sheetViews>
    <sheetView showGridLines="0" tabSelected="1" zoomScaleNormal="100" workbookViewId="0">
      <selection activeCell="C9" sqref="C9"/>
    </sheetView>
  </sheetViews>
  <sheetFormatPr baseColWidth="10" defaultColWidth="8.6640625" defaultRowHeight="14" x14ac:dyDescent="0.15"/>
  <cols>
    <col min="1" max="1" width="3" style="2" customWidth="1"/>
    <col min="2" max="2" width="32" style="2" customWidth="1"/>
    <col min="3" max="8" width="22" style="2" customWidth="1"/>
    <col min="9" max="16384" width="8.6640625" style="2"/>
  </cols>
  <sheetData>
    <row r="2" spans="2:8" x14ac:dyDescent="0.15">
      <c r="B2" s="72" t="s">
        <v>0</v>
      </c>
      <c r="C2" s="72"/>
      <c r="D2" s="72"/>
      <c r="E2" s="72"/>
      <c r="F2" s="72"/>
      <c r="G2" s="72"/>
      <c r="H2" s="72"/>
    </row>
    <row r="3" spans="2:8" x14ac:dyDescent="0.15">
      <c r="B3" s="72"/>
      <c r="C3" s="72"/>
      <c r="D3" s="72"/>
      <c r="E3" s="72"/>
      <c r="F3" s="72"/>
      <c r="G3" s="72"/>
      <c r="H3" s="72"/>
    </row>
    <row r="5" spans="2:8" x14ac:dyDescent="0.15">
      <c r="B5" s="73" t="s">
        <v>1</v>
      </c>
    </row>
    <row r="6" spans="2:8" x14ac:dyDescent="0.15">
      <c r="B6" s="74" t="s">
        <v>2</v>
      </c>
    </row>
    <row r="8" spans="2:8" x14ac:dyDescent="0.15">
      <c r="B8" s="7" t="s">
        <v>3</v>
      </c>
      <c r="C8" s="7"/>
      <c r="D8" s="7"/>
      <c r="E8" s="7"/>
      <c r="F8" s="7"/>
      <c r="G8" s="7"/>
      <c r="H8" s="7"/>
    </row>
    <row r="9" spans="2:8" ht="16" x14ac:dyDescent="0.2">
      <c r="B9" s="3" t="s">
        <v>4</v>
      </c>
      <c r="C9" s="75" t="s">
        <v>5</v>
      </c>
      <c r="D9" s="5" t="s">
        <v>6</v>
      </c>
    </row>
    <row r="11" spans="2:8" x14ac:dyDescent="0.15">
      <c r="B11" s="76" t="s">
        <v>7</v>
      </c>
    </row>
    <row r="12" spans="2:8" x14ac:dyDescent="0.15">
      <c r="B12" s="28" t="s">
        <v>8</v>
      </c>
    </row>
    <row r="13" spans="2:8" x14ac:dyDescent="0.15">
      <c r="B13" s="28" t="s">
        <v>9</v>
      </c>
    </row>
    <row r="15" spans="2:8" x14ac:dyDescent="0.15">
      <c r="B15" s="7" t="s">
        <v>10</v>
      </c>
      <c r="C15" s="7"/>
      <c r="D15" s="7"/>
      <c r="E15" s="7"/>
      <c r="F15" s="7"/>
      <c r="G15" s="7"/>
      <c r="H15" s="7"/>
    </row>
    <row r="16" spans="2:8" x14ac:dyDescent="0.15">
      <c r="B16" s="77" t="s">
        <v>11</v>
      </c>
      <c r="D16" s="18">
        <f>Outputs!$D$7</f>
        <v>126530823.25658485</v>
      </c>
    </row>
    <row r="17" spans="2:8" x14ac:dyDescent="0.15">
      <c r="B17" s="77" t="s">
        <v>12</v>
      </c>
      <c r="D17" s="18">
        <f>Outputs!$D$8</f>
        <v>67287487.902976885</v>
      </c>
    </row>
    <row r="18" spans="2:8" x14ac:dyDescent="0.15">
      <c r="B18" s="77" t="s">
        <v>13</v>
      </c>
      <c r="D18" s="21">
        <f>Outputs!$D$9</f>
        <v>0.76560594851351271</v>
      </c>
    </row>
    <row r="19" spans="2:8" x14ac:dyDescent="0.15">
      <c r="B19" s="77" t="s">
        <v>14</v>
      </c>
      <c r="D19" s="19">
        <f>Outputs!$D$13</f>
        <v>0</v>
      </c>
    </row>
    <row r="20" spans="2:8" x14ac:dyDescent="0.15">
      <c r="B20" s="77" t="s">
        <v>15</v>
      </c>
      <c r="D20" s="18">
        <f>Outputs!$D$14</f>
        <v>-59862783.84861739</v>
      </c>
    </row>
    <row r="21" spans="2:8" x14ac:dyDescent="0.15">
      <c r="B21" s="77" t="s">
        <v>16</v>
      </c>
      <c r="D21" s="22">
        <f>Outputs!$D$15</f>
        <v>0</v>
      </c>
    </row>
    <row r="22" spans="2:8" x14ac:dyDescent="0.15">
      <c r="B22" s="77" t="s">
        <v>17</v>
      </c>
      <c r="D22" s="22">
        <f>Outputs!$D$20</f>
        <v>-0.10661363527760818</v>
      </c>
    </row>
    <row r="23" spans="2:8" x14ac:dyDescent="0.15">
      <c r="B23" s="77" t="s">
        <v>18</v>
      </c>
      <c r="D23" s="22">
        <f>Outputs!$D$22</f>
        <v>1.0009806429432704</v>
      </c>
    </row>
    <row r="25" spans="2:8" x14ac:dyDescent="0.15">
      <c r="B25" s="7" t="s">
        <v>19</v>
      </c>
      <c r="C25" s="7"/>
      <c r="D25" s="7"/>
      <c r="E25" s="7"/>
      <c r="F25" s="7"/>
      <c r="G25" s="7"/>
      <c r="H25" s="7"/>
    </row>
    <row r="26" spans="2:8" x14ac:dyDescent="0.15">
      <c r="B26" s="78" t="s">
        <v>20</v>
      </c>
      <c r="D26" s="28" t="s">
        <v>21</v>
      </c>
    </row>
    <row r="27" spans="2:8" x14ac:dyDescent="0.15">
      <c r="B27" s="79" t="s">
        <v>22</v>
      </c>
      <c r="D27" s="28" t="s">
        <v>23</v>
      </c>
    </row>
    <row r="28" spans="2:8" x14ac:dyDescent="0.15">
      <c r="B28" s="80" t="s">
        <v>24</v>
      </c>
      <c r="D28" s="28" t="s">
        <v>25</v>
      </c>
    </row>
    <row r="29" spans="2:8" x14ac:dyDescent="0.15">
      <c r="B29" s="81" t="s">
        <v>26</v>
      </c>
      <c r="D29" s="28" t="s">
        <v>27</v>
      </c>
    </row>
    <row r="30" spans="2:8" x14ac:dyDescent="0.15">
      <c r="B30" s="82" t="s">
        <v>28</v>
      </c>
      <c r="D30" s="28" t="s">
        <v>29</v>
      </c>
    </row>
    <row r="33" spans="2:8" x14ac:dyDescent="0.15">
      <c r="B33" s="28" t="s">
        <v>30</v>
      </c>
    </row>
    <row r="34" spans="2:8" x14ac:dyDescent="0.15">
      <c r="B34" s="28" t="s">
        <v>31</v>
      </c>
    </row>
    <row r="37" spans="2:8" x14ac:dyDescent="0.15">
      <c r="B37" s="7" t="s">
        <v>671</v>
      </c>
      <c r="C37" s="7"/>
      <c r="D37" s="7"/>
      <c r="E37" s="7"/>
      <c r="F37" s="7"/>
      <c r="G37" s="7"/>
      <c r="H37" s="7"/>
    </row>
    <row r="38" spans="2:8" x14ac:dyDescent="0.15">
      <c r="B38" s="83" t="s">
        <v>672</v>
      </c>
    </row>
    <row r="39" spans="2:8" x14ac:dyDescent="0.15">
      <c r="B39" s="83" t="s">
        <v>295</v>
      </c>
    </row>
    <row r="40" spans="2:8" x14ac:dyDescent="0.15">
      <c r="B40" s="83" t="s">
        <v>673</v>
      </c>
    </row>
    <row r="41" spans="2:8" x14ac:dyDescent="0.15">
      <c r="B41" s="83" t="s">
        <v>674</v>
      </c>
    </row>
    <row r="42" spans="2:8" x14ac:dyDescent="0.15">
      <c r="B42" s="83" t="s">
        <v>675</v>
      </c>
    </row>
    <row r="43" spans="2:8" x14ac:dyDescent="0.15">
      <c r="B43" s="83" t="s">
        <v>676</v>
      </c>
    </row>
    <row r="44" spans="2:8" x14ac:dyDescent="0.15">
      <c r="B44" s="83" t="s">
        <v>677</v>
      </c>
    </row>
    <row r="45" spans="2:8" x14ac:dyDescent="0.15">
      <c r="B45" s="83" t="s">
        <v>678</v>
      </c>
    </row>
    <row r="46" spans="2:8" x14ac:dyDescent="0.15">
      <c r="B46" s="83" t="s">
        <v>679</v>
      </c>
    </row>
    <row r="47" spans="2:8" x14ac:dyDescent="0.15">
      <c r="B47" s="83" t="s">
        <v>680</v>
      </c>
    </row>
    <row r="48" spans="2:8" x14ac:dyDescent="0.15">
      <c r="B48" s="83" t="s">
        <v>681</v>
      </c>
    </row>
    <row r="49" spans="2:2" x14ac:dyDescent="0.15">
      <c r="B49" s="83" t="s">
        <v>682</v>
      </c>
    </row>
  </sheetData>
  <mergeCells count="5">
    <mergeCell ref="B2:H3"/>
    <mergeCell ref="B8:H8"/>
    <mergeCell ref="B15:H15"/>
    <mergeCell ref="B25:H25"/>
    <mergeCell ref="B37:H37"/>
  </mergeCells>
  <dataValidations count="1">
    <dataValidation type="list" error="Select Base, Best or Worst" prompt="Choose scenario" sqref="C9" xr:uid="{00000000-0002-0000-0000-000000000000}">
      <formula1>"Base,Best,Worst"</formula1>
      <formula2>0</formula2>
    </dataValidation>
  </dataValidations>
  <hyperlinks>
    <hyperlink ref="B38" location="Assumptions!A1" display="Assumptions!A1" xr:uid="{FC1D74BD-F5E6-0649-A095-773209037954}"/>
    <hyperlink ref="B39" location="Timing!A1" display="Timing!A1" xr:uid="{2307B583-67C2-1E40-8644-146713E9A885}"/>
    <hyperlink ref="B40" location="Construction!A1" display="Construction!A1" xr:uid="{8BD0F1DA-C2A2-A047-9DAD-57D8F2A0D508}"/>
    <hyperlink ref="B41" location="Operations!A1" display="Operations!A1" xr:uid="{74D0AD06-2B1C-ED4E-B043-8AE6B73EF880}"/>
    <hyperlink ref="B42" location="Waterfall!A1" display="Waterfall!A1" xr:uid="{59E64581-CC46-4A4D-9B06-615FD35BBE0F}"/>
    <hyperlink ref="B43" location="WorkingCap!A1" display="WorkingCap!A1" xr:uid="{DF0FC4E9-6764-9F4F-8B10-61B7AC520400}"/>
    <hyperlink ref="B44" location="Reserves!A1" display="Reserves!A1" xr:uid="{1BBB007F-DD01-9B45-BBA4-111AA32B6119}"/>
    <hyperlink ref="B45" location="Outputs!A1" display="Outputs!A1" xr:uid="{5B563EFC-88C8-B249-ABF1-E9A5BF27CEF7}"/>
    <hyperlink ref="B46" location="Sensitivities!A1" display="Sensitivities!A1" xr:uid="{C8B8863C-054F-D041-B98A-2B23A16FC1C8}"/>
    <hyperlink ref="B47" location="Audit!A1" display="Audit!A1" xr:uid="{23FE55B7-9E01-8748-898E-4D0865F7EB8C}"/>
    <hyperlink ref="B48" location="Glossary!A1" display="Glossary!A1" xr:uid="{96972A63-931B-F04A-8B0C-19456EED5154}"/>
    <hyperlink ref="B49" location="Charts!A1" display="Charts!A1" xr:uid="{7C349834-64BA-7F40-879C-150E3369BD4B}"/>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F6B69"/>
  </sheetPr>
  <dimension ref="B2:H105"/>
  <sheetViews>
    <sheetView showGridLines="0" zoomScale="120" zoomScaleNormal="120" workbookViewId="0">
      <pane xSplit="2" ySplit="6" topLeftCell="C92" activePane="bottomRight" state="frozen"/>
      <selection pane="topRight" activeCell="C1" sqref="C1"/>
      <selection pane="bottomLeft" activeCell="A7" sqref="A7"/>
      <selection pane="bottomRight" activeCell="H127" sqref="H127"/>
    </sheetView>
  </sheetViews>
  <sheetFormatPr baseColWidth="10" defaultColWidth="8.6640625" defaultRowHeight="14" x14ac:dyDescent="0.15"/>
  <cols>
    <col min="1" max="1" width="3" style="2" customWidth="1"/>
    <col min="2" max="2" width="40" style="2" customWidth="1"/>
    <col min="3" max="6" width="14" style="2" customWidth="1"/>
    <col min="7" max="7" width="12" style="2" customWidth="1"/>
    <col min="8" max="8" width="48" style="2" customWidth="1"/>
    <col min="9" max="16384" width="8.6640625" style="2"/>
  </cols>
  <sheetData>
    <row r="2" spans="2:8" x14ac:dyDescent="0.15">
      <c r="B2" s="1" t="s">
        <v>32</v>
      </c>
      <c r="C2" s="1"/>
      <c r="D2" s="1"/>
      <c r="E2" s="1"/>
      <c r="F2" s="1"/>
      <c r="G2" s="1"/>
      <c r="H2" s="1"/>
    </row>
    <row r="3" spans="2:8" x14ac:dyDescent="0.15">
      <c r="B3" s="1"/>
      <c r="C3" s="1"/>
      <c r="D3" s="1"/>
      <c r="E3" s="1"/>
      <c r="F3" s="1"/>
      <c r="G3" s="1"/>
      <c r="H3" s="1"/>
    </row>
    <row r="4" spans="2:8" ht="16" x14ac:dyDescent="0.2">
      <c r="B4" s="3" t="s">
        <v>33</v>
      </c>
      <c r="D4" s="4" t="str">
        <f>Cover!$C$9</f>
        <v>Base</v>
      </c>
      <c r="E4" s="84" t="s">
        <v>683</v>
      </c>
      <c r="F4" s="5" t="s">
        <v>34</v>
      </c>
    </row>
    <row r="6" spans="2:8" ht="27.75" customHeight="1" x14ac:dyDescent="0.15">
      <c r="B6" s="6" t="s">
        <v>35</v>
      </c>
      <c r="C6" s="6" t="s">
        <v>36</v>
      </c>
      <c r="D6" s="6" t="s">
        <v>37</v>
      </c>
      <c r="E6" s="6" t="s">
        <v>38</v>
      </c>
      <c r="F6" s="6" t="s">
        <v>39</v>
      </c>
      <c r="G6" s="6" t="s">
        <v>40</v>
      </c>
      <c r="H6" s="6" t="s">
        <v>41</v>
      </c>
    </row>
    <row r="8" spans="2:8" x14ac:dyDescent="0.15">
      <c r="B8" s="7" t="s">
        <v>42</v>
      </c>
      <c r="C8" s="7"/>
      <c r="D8" s="7"/>
      <c r="E8" s="7"/>
      <c r="F8" s="7"/>
      <c r="G8" s="7"/>
      <c r="H8" s="7"/>
    </row>
    <row r="9" spans="2:8" ht="26" x14ac:dyDescent="0.15">
      <c r="B9" s="88" t="s">
        <v>43</v>
      </c>
      <c r="C9" s="95">
        <v>15000</v>
      </c>
      <c r="D9" s="95">
        <v>15000</v>
      </c>
      <c r="E9" s="95">
        <v>15000</v>
      </c>
      <c r="F9" s="96">
        <f t="shared" ref="F9:F17" si="0">IF($D$4="Base",C9,IF($D$4="Best",D9,E9))</f>
        <v>15000</v>
      </c>
      <c r="G9" s="91" t="s">
        <v>44</v>
      </c>
      <c r="H9" s="92" t="s">
        <v>45</v>
      </c>
    </row>
    <row r="10" spans="2:8" x14ac:dyDescent="0.15">
      <c r="B10" s="88" t="s">
        <v>46</v>
      </c>
      <c r="C10" s="89">
        <v>0.6</v>
      </c>
      <c r="D10" s="89">
        <v>0.7</v>
      </c>
      <c r="E10" s="89">
        <v>0.45</v>
      </c>
      <c r="F10" s="90">
        <f t="shared" si="0"/>
        <v>0.6</v>
      </c>
      <c r="G10" s="91" t="s">
        <v>47</v>
      </c>
      <c r="H10" s="92" t="s">
        <v>48</v>
      </c>
    </row>
    <row r="11" spans="2:8" x14ac:dyDescent="0.15">
      <c r="B11" s="88" t="s">
        <v>49</v>
      </c>
      <c r="C11" s="89">
        <v>0.8</v>
      </c>
      <c r="D11" s="89">
        <v>0.9</v>
      </c>
      <c r="E11" s="89">
        <v>0.65</v>
      </c>
      <c r="F11" s="90">
        <f t="shared" si="0"/>
        <v>0.8</v>
      </c>
      <c r="G11" s="91" t="s">
        <v>47</v>
      </c>
      <c r="H11" s="92" t="s">
        <v>50</v>
      </c>
    </row>
    <row r="12" spans="2:8" x14ac:dyDescent="0.15">
      <c r="B12" s="88" t="s">
        <v>51</v>
      </c>
      <c r="C12" s="89">
        <v>0.95</v>
      </c>
      <c r="D12" s="89">
        <v>0.98</v>
      </c>
      <c r="E12" s="89">
        <v>0.8</v>
      </c>
      <c r="F12" s="90">
        <f t="shared" si="0"/>
        <v>0.95</v>
      </c>
      <c r="G12" s="91" t="s">
        <v>47</v>
      </c>
      <c r="H12" s="92" t="s">
        <v>52</v>
      </c>
    </row>
    <row r="13" spans="2:8" ht="26" x14ac:dyDescent="0.15">
      <c r="B13" s="88" t="s">
        <v>53</v>
      </c>
      <c r="C13" s="89">
        <v>0.85</v>
      </c>
      <c r="D13" s="89">
        <v>0.85</v>
      </c>
      <c r="E13" s="89">
        <v>0.85</v>
      </c>
      <c r="F13" s="90">
        <f t="shared" si="0"/>
        <v>0.85</v>
      </c>
      <c r="G13" s="91" t="s">
        <v>54</v>
      </c>
      <c r="H13" s="92" t="s">
        <v>55</v>
      </c>
    </row>
    <row r="14" spans="2:8" x14ac:dyDescent="0.15">
      <c r="B14" s="88" t="s">
        <v>56</v>
      </c>
      <c r="C14" s="97">
        <v>1.1764705882352942</v>
      </c>
      <c r="D14" s="97">
        <v>1.1764705882352942</v>
      </c>
      <c r="E14" s="97">
        <v>1.1764705882352942</v>
      </c>
      <c r="F14" s="98">
        <f t="shared" si="0"/>
        <v>1.1764705882352942</v>
      </c>
      <c r="G14" s="91" t="s">
        <v>57</v>
      </c>
      <c r="H14" s="92" t="s">
        <v>58</v>
      </c>
    </row>
    <row r="15" spans="2:8" x14ac:dyDescent="0.15">
      <c r="B15" s="88" t="s">
        <v>59</v>
      </c>
      <c r="C15" s="89">
        <v>0.4</v>
      </c>
      <c r="D15" s="89">
        <v>0.4</v>
      </c>
      <c r="E15" s="89">
        <v>0.4</v>
      </c>
      <c r="F15" s="90">
        <f t="shared" si="0"/>
        <v>0.4</v>
      </c>
      <c r="G15" s="91" t="s">
        <v>60</v>
      </c>
      <c r="H15" s="92" t="s">
        <v>61</v>
      </c>
    </row>
    <row r="16" spans="2:8" x14ac:dyDescent="0.15">
      <c r="B16" s="88" t="s">
        <v>62</v>
      </c>
      <c r="C16" s="89">
        <v>0.3</v>
      </c>
      <c r="D16" s="89">
        <v>0.3</v>
      </c>
      <c r="E16" s="89">
        <v>0.3</v>
      </c>
      <c r="F16" s="90">
        <f t="shared" si="0"/>
        <v>0.3</v>
      </c>
      <c r="G16" s="91" t="s">
        <v>60</v>
      </c>
      <c r="H16" s="92"/>
    </row>
    <row r="17" spans="2:8" x14ac:dyDescent="0.15">
      <c r="B17" s="88" t="s">
        <v>63</v>
      </c>
      <c r="C17" s="89">
        <v>0.3</v>
      </c>
      <c r="D17" s="89">
        <v>0.3</v>
      </c>
      <c r="E17" s="89">
        <v>0.3</v>
      </c>
      <c r="F17" s="90">
        <f t="shared" si="0"/>
        <v>0.3</v>
      </c>
      <c r="G17" s="91" t="s">
        <v>60</v>
      </c>
      <c r="H17" s="92"/>
    </row>
    <row r="19" spans="2:8" x14ac:dyDescent="0.15">
      <c r="B19" s="7" t="s">
        <v>64</v>
      </c>
      <c r="C19" s="7"/>
      <c r="D19" s="7"/>
      <c r="E19" s="7"/>
      <c r="F19" s="7"/>
      <c r="G19" s="7"/>
      <c r="H19" s="7"/>
    </row>
    <row r="20" spans="2:8" ht="26" x14ac:dyDescent="0.15">
      <c r="B20" s="88" t="s">
        <v>65</v>
      </c>
      <c r="C20" s="93">
        <v>7000</v>
      </c>
      <c r="D20" s="93">
        <v>8050</v>
      </c>
      <c r="E20" s="93">
        <v>5600</v>
      </c>
      <c r="F20" s="94">
        <f t="shared" ref="F20:F26" si="1">IF($D$4="Base",C20,IF($D$4="Best",D20,E20))</f>
        <v>7000</v>
      </c>
      <c r="G20" s="91" t="s">
        <v>66</v>
      </c>
      <c r="H20" s="92" t="s">
        <v>67</v>
      </c>
    </row>
    <row r="21" spans="2:8" x14ac:dyDescent="0.15">
      <c r="B21" s="88" t="s">
        <v>68</v>
      </c>
      <c r="C21" s="93">
        <v>400</v>
      </c>
      <c r="D21" s="93">
        <v>400</v>
      </c>
      <c r="E21" s="93">
        <v>400</v>
      </c>
      <c r="F21" s="94">
        <f t="shared" si="1"/>
        <v>400</v>
      </c>
      <c r="G21" s="91" t="s">
        <v>66</v>
      </c>
      <c r="H21" s="92" t="s">
        <v>69</v>
      </c>
    </row>
    <row r="22" spans="2:8" ht="26" x14ac:dyDescent="0.15">
      <c r="B22" s="88" t="s">
        <v>70</v>
      </c>
      <c r="C22" s="93">
        <v>1800</v>
      </c>
      <c r="D22" s="93">
        <v>1800</v>
      </c>
      <c r="E22" s="93">
        <v>1800</v>
      </c>
      <c r="F22" s="94">
        <f t="shared" si="1"/>
        <v>1800</v>
      </c>
      <c r="G22" s="91" t="s">
        <v>66</v>
      </c>
      <c r="H22" s="92" t="s">
        <v>71</v>
      </c>
    </row>
    <row r="23" spans="2:8" x14ac:dyDescent="0.15">
      <c r="B23" s="88" t="s">
        <v>72</v>
      </c>
      <c r="C23" s="93">
        <v>-300</v>
      </c>
      <c r="D23" s="93">
        <v>-300</v>
      </c>
      <c r="E23" s="93">
        <v>-300</v>
      </c>
      <c r="F23" s="94">
        <f t="shared" si="1"/>
        <v>-300</v>
      </c>
      <c r="G23" s="91" t="s">
        <v>66</v>
      </c>
      <c r="H23" s="92" t="s">
        <v>73</v>
      </c>
    </row>
    <row r="24" spans="2:8" x14ac:dyDescent="0.15">
      <c r="B24" s="88" t="s">
        <v>74</v>
      </c>
      <c r="C24" s="89">
        <v>0.8</v>
      </c>
      <c r="D24" s="89">
        <v>0.8</v>
      </c>
      <c r="E24" s="89">
        <v>0.8</v>
      </c>
      <c r="F24" s="90">
        <f t="shared" si="1"/>
        <v>0.8</v>
      </c>
      <c r="G24" s="91" t="s">
        <v>60</v>
      </c>
      <c r="H24" s="92" t="s">
        <v>75</v>
      </c>
    </row>
    <row r="25" spans="2:8" x14ac:dyDescent="0.15">
      <c r="B25" s="88" t="s">
        <v>76</v>
      </c>
      <c r="C25" s="89">
        <v>0.2</v>
      </c>
      <c r="D25" s="89">
        <v>0.2</v>
      </c>
      <c r="E25" s="89">
        <v>0.2</v>
      </c>
      <c r="F25" s="90">
        <f t="shared" si="1"/>
        <v>0.2</v>
      </c>
      <c r="G25" s="91" t="s">
        <v>60</v>
      </c>
      <c r="H25" s="92" t="s">
        <v>77</v>
      </c>
    </row>
    <row r="26" spans="2:8" ht="39" x14ac:dyDescent="0.15">
      <c r="B26" s="88" t="s">
        <v>78</v>
      </c>
      <c r="C26" s="89">
        <v>0.5</v>
      </c>
      <c r="D26" s="89">
        <v>0.5</v>
      </c>
      <c r="E26" s="89">
        <v>0.5</v>
      </c>
      <c r="F26" s="90">
        <f t="shared" si="1"/>
        <v>0.5</v>
      </c>
      <c r="G26" s="91" t="s">
        <v>79</v>
      </c>
      <c r="H26" s="92" t="s">
        <v>80</v>
      </c>
    </row>
    <row r="28" spans="2:8" x14ac:dyDescent="0.15">
      <c r="B28" s="7" t="s">
        <v>81</v>
      </c>
      <c r="C28" s="7"/>
      <c r="D28" s="7"/>
      <c r="E28" s="7"/>
      <c r="F28" s="7"/>
      <c r="G28" s="7"/>
      <c r="H28" s="7"/>
    </row>
    <row r="29" spans="2:8" x14ac:dyDescent="0.15">
      <c r="B29" s="8" t="s">
        <v>82</v>
      </c>
      <c r="C29" s="9">
        <v>3000</v>
      </c>
      <c r="D29" s="9">
        <v>2850</v>
      </c>
      <c r="E29" s="9">
        <v>3450</v>
      </c>
      <c r="F29" s="10">
        <f>IF($D$4="Base",C29,IF($D$4="Best",D29,E29))</f>
        <v>3000</v>
      </c>
      <c r="G29" s="11" t="s">
        <v>83</v>
      </c>
      <c r="H29" s="12" t="s">
        <v>84</v>
      </c>
    </row>
    <row r="30" spans="2:8" ht="130" x14ac:dyDescent="0.15">
      <c r="B30" s="88" t="s">
        <v>85</v>
      </c>
      <c r="C30" s="89">
        <v>0.12</v>
      </c>
      <c r="D30" s="89">
        <v>0.06</v>
      </c>
      <c r="E30" s="89">
        <v>0.18</v>
      </c>
      <c r="F30" s="90">
        <f>IF($D$4="Base",C30,IF($D$4="Best",D30,E30))</f>
        <v>0.12</v>
      </c>
      <c r="G30" s="91" t="s">
        <v>86</v>
      </c>
      <c r="H30" s="92" t="s">
        <v>87</v>
      </c>
    </row>
    <row r="31" spans="2:8" x14ac:dyDescent="0.15">
      <c r="B31" s="8" t="s">
        <v>88</v>
      </c>
      <c r="C31" s="9">
        <v>64</v>
      </c>
      <c r="D31" s="9">
        <v>64</v>
      </c>
      <c r="E31" s="9">
        <v>64</v>
      </c>
      <c r="F31" s="10">
        <f>IF($D$4="Base",C31,IF($D$4="Best",D31,E31))</f>
        <v>64</v>
      </c>
      <c r="G31" s="11" t="s">
        <v>89</v>
      </c>
      <c r="H31" s="12" t="s">
        <v>90</v>
      </c>
    </row>
    <row r="32" spans="2:8" x14ac:dyDescent="0.15">
      <c r="B32" s="8" t="s">
        <v>91</v>
      </c>
      <c r="C32" s="15">
        <v>13</v>
      </c>
      <c r="D32" s="15">
        <v>11</v>
      </c>
      <c r="E32" s="15">
        <v>15</v>
      </c>
      <c r="F32" s="16">
        <f>IF($D$4="Base",C32,IF($D$4="Best",D32,E32))</f>
        <v>13</v>
      </c>
      <c r="G32" s="11" t="s">
        <v>92</v>
      </c>
      <c r="H32" s="12" t="s">
        <v>93</v>
      </c>
    </row>
    <row r="33" spans="2:8" ht="26" x14ac:dyDescent="0.15">
      <c r="B33" s="8" t="s">
        <v>94</v>
      </c>
      <c r="C33" s="13">
        <v>0.05</v>
      </c>
      <c r="D33" s="13">
        <v>0.01</v>
      </c>
      <c r="E33" s="13">
        <v>0.1</v>
      </c>
      <c r="F33" s="14">
        <f>IF($D$4="Base",C33,IF($D$4="Best",D33,E33))</f>
        <v>0.05</v>
      </c>
      <c r="G33" s="11" t="s">
        <v>95</v>
      </c>
      <c r="H33" s="12" t="s">
        <v>96</v>
      </c>
    </row>
    <row r="35" spans="2:8" x14ac:dyDescent="0.15">
      <c r="B35" s="7" t="s">
        <v>97</v>
      </c>
      <c r="C35" s="7"/>
      <c r="D35" s="7"/>
      <c r="E35" s="7"/>
      <c r="F35" s="7"/>
      <c r="G35" s="7"/>
      <c r="H35" s="7"/>
    </row>
    <row r="36" spans="2:8" ht="143" x14ac:dyDescent="0.15">
      <c r="B36" s="88" t="s">
        <v>98</v>
      </c>
      <c r="C36" s="93">
        <v>12000</v>
      </c>
      <c r="D36" s="93">
        <v>11040</v>
      </c>
      <c r="E36" s="93">
        <v>13200</v>
      </c>
      <c r="F36" s="94">
        <f>IF($D$4="Base",C36,IF($D$4="Best",D36,E36))</f>
        <v>12000</v>
      </c>
      <c r="G36" s="91" t="s">
        <v>99</v>
      </c>
      <c r="H36" s="92" t="s">
        <v>100</v>
      </c>
    </row>
    <row r="37" spans="2:8" ht="156" x14ac:dyDescent="0.15">
      <c r="B37" s="88" t="s">
        <v>101</v>
      </c>
      <c r="C37" s="93">
        <v>950</v>
      </c>
      <c r="D37" s="93">
        <v>950</v>
      </c>
      <c r="E37" s="93">
        <v>950</v>
      </c>
      <c r="F37" s="94">
        <f>IF($D$4="Base",C37,IF($D$4="Best",D37,E37))</f>
        <v>950</v>
      </c>
      <c r="G37" s="91" t="s">
        <v>102</v>
      </c>
      <c r="H37" s="92" t="s">
        <v>103</v>
      </c>
    </row>
    <row r="38" spans="2:8" x14ac:dyDescent="0.15">
      <c r="B38" s="8" t="s">
        <v>104</v>
      </c>
      <c r="C38" s="17">
        <v>45</v>
      </c>
      <c r="D38" s="17">
        <v>45</v>
      </c>
      <c r="E38" s="17">
        <v>45</v>
      </c>
      <c r="F38" s="18">
        <f>IF($D$4="Base",C38,IF($D$4="Best",D38,E38))</f>
        <v>45</v>
      </c>
      <c r="G38" s="11" t="s">
        <v>105</v>
      </c>
      <c r="H38" s="12" t="s">
        <v>106</v>
      </c>
    </row>
    <row r="40" spans="2:8" x14ac:dyDescent="0.15">
      <c r="B40" s="7" t="s">
        <v>107</v>
      </c>
      <c r="C40" s="7"/>
      <c r="D40" s="7"/>
      <c r="E40" s="7"/>
      <c r="F40" s="7"/>
      <c r="G40" s="7"/>
      <c r="H40" s="7"/>
    </row>
    <row r="41" spans="2:8" x14ac:dyDescent="0.15">
      <c r="B41" s="88" t="s">
        <v>108</v>
      </c>
      <c r="C41" s="95">
        <v>10</v>
      </c>
      <c r="D41" s="95">
        <v>10</v>
      </c>
      <c r="E41" s="95">
        <v>10</v>
      </c>
      <c r="F41" s="96">
        <f t="shared" ref="F41:F46" si="2">IF($D$4="Base",C41,IF($D$4="Best",D41,E41))</f>
        <v>10</v>
      </c>
      <c r="G41" s="91" t="s">
        <v>109</v>
      </c>
      <c r="H41" s="92" t="s">
        <v>110</v>
      </c>
    </row>
    <row r="42" spans="2:8" x14ac:dyDescent="0.15">
      <c r="B42" s="88" t="s">
        <v>111</v>
      </c>
      <c r="C42" s="99">
        <v>9.5000000000000001E-2</v>
      </c>
      <c r="D42" s="99">
        <v>8.7499999999999994E-2</v>
      </c>
      <c r="E42" s="99">
        <v>0.11</v>
      </c>
      <c r="F42" s="100">
        <f t="shared" si="2"/>
        <v>9.5000000000000001E-2</v>
      </c>
      <c r="G42" s="91" t="s">
        <v>95</v>
      </c>
      <c r="H42" s="92" t="s">
        <v>112</v>
      </c>
    </row>
    <row r="43" spans="2:8" x14ac:dyDescent="0.15">
      <c r="B43" s="88" t="s">
        <v>113</v>
      </c>
      <c r="C43" s="101">
        <v>1.4999999999999999E-2</v>
      </c>
      <c r="D43" s="101">
        <v>1.4999999999999999E-2</v>
      </c>
      <c r="E43" s="101">
        <v>1.4999999999999999E-2</v>
      </c>
      <c r="F43" s="102">
        <f t="shared" si="2"/>
        <v>1.4999999999999999E-2</v>
      </c>
      <c r="G43" s="91" t="s">
        <v>114</v>
      </c>
      <c r="H43" s="92" t="s">
        <v>115</v>
      </c>
    </row>
    <row r="44" spans="2:8" ht="26" x14ac:dyDescent="0.15">
      <c r="B44" s="88" t="s">
        <v>116</v>
      </c>
      <c r="C44" s="95">
        <v>6</v>
      </c>
      <c r="D44" s="95">
        <v>6</v>
      </c>
      <c r="E44" s="95">
        <v>6</v>
      </c>
      <c r="F44" s="96">
        <f t="shared" si="2"/>
        <v>6</v>
      </c>
      <c r="G44" s="91" t="s">
        <v>117</v>
      </c>
      <c r="H44" s="92" t="s">
        <v>118</v>
      </c>
    </row>
    <row r="45" spans="2:8" ht="26" x14ac:dyDescent="0.15">
      <c r="B45" s="88" t="s">
        <v>119</v>
      </c>
      <c r="C45" s="103">
        <v>1.3</v>
      </c>
      <c r="D45" s="103">
        <v>1.3</v>
      </c>
      <c r="E45" s="103">
        <v>1.3</v>
      </c>
      <c r="F45" s="104">
        <f t="shared" si="2"/>
        <v>1.3</v>
      </c>
      <c r="G45" s="91" t="s">
        <v>120</v>
      </c>
      <c r="H45" s="92" t="s">
        <v>121</v>
      </c>
    </row>
    <row r="46" spans="2:8" ht="26" x14ac:dyDescent="0.15">
      <c r="B46" s="88" t="s">
        <v>122</v>
      </c>
      <c r="C46" s="89">
        <v>0.6</v>
      </c>
      <c r="D46" s="89">
        <v>0.6</v>
      </c>
      <c r="E46" s="89">
        <v>0.6</v>
      </c>
      <c r="F46" s="90">
        <f t="shared" si="2"/>
        <v>0.6</v>
      </c>
      <c r="G46" s="91" t="s">
        <v>123</v>
      </c>
      <c r="H46" s="92" t="s">
        <v>124</v>
      </c>
    </row>
    <row r="48" spans="2:8" x14ac:dyDescent="0.15">
      <c r="B48" s="7" t="s">
        <v>125</v>
      </c>
      <c r="C48" s="7"/>
      <c r="D48" s="7"/>
      <c r="E48" s="7"/>
      <c r="F48" s="7"/>
      <c r="G48" s="7"/>
      <c r="H48" s="7"/>
    </row>
    <row r="49" spans="2:8" ht="26" x14ac:dyDescent="0.15">
      <c r="B49" s="88" t="s">
        <v>126</v>
      </c>
      <c r="C49" s="101">
        <v>2.1999999999999999E-2</v>
      </c>
      <c r="D49" s="101">
        <v>2.1999999999999999E-2</v>
      </c>
      <c r="E49" s="101">
        <v>2.1999999999999999E-2</v>
      </c>
      <c r="F49" s="105">
        <f t="shared" ref="F49:F54" si="3">IF($D$4="Base",C49,IF($D$4="Best",D49,E49))</f>
        <v>2.1999999999999999E-2</v>
      </c>
      <c r="G49" s="91" t="s">
        <v>95</v>
      </c>
      <c r="H49" s="92" t="s">
        <v>127</v>
      </c>
    </row>
    <row r="50" spans="2:8" x14ac:dyDescent="0.15">
      <c r="B50" s="88" t="s">
        <v>128</v>
      </c>
      <c r="C50" s="89">
        <v>0.25</v>
      </c>
      <c r="D50" s="89">
        <v>0.25</v>
      </c>
      <c r="E50" s="89">
        <v>0.25</v>
      </c>
      <c r="F50" s="106">
        <f t="shared" si="3"/>
        <v>0.25</v>
      </c>
      <c r="G50" s="91" t="s">
        <v>129</v>
      </c>
      <c r="H50" s="92" t="s">
        <v>130</v>
      </c>
    </row>
    <row r="51" spans="2:8" ht="26" x14ac:dyDescent="0.15">
      <c r="B51" s="88" t="s">
        <v>131</v>
      </c>
      <c r="C51" s="109" t="s">
        <v>132</v>
      </c>
      <c r="D51" s="109" t="s">
        <v>132</v>
      </c>
      <c r="E51" s="109" t="s">
        <v>684</v>
      </c>
      <c r="F51" s="107" t="str">
        <f t="shared" si="3"/>
        <v>Yes</v>
      </c>
      <c r="G51" s="91" t="s">
        <v>133</v>
      </c>
      <c r="H51" s="92" t="s">
        <v>134</v>
      </c>
    </row>
    <row r="52" spans="2:8" x14ac:dyDescent="0.15">
      <c r="B52" s="88" t="s">
        <v>135</v>
      </c>
      <c r="C52" s="95">
        <v>10</v>
      </c>
      <c r="D52" s="95">
        <v>10</v>
      </c>
      <c r="E52" s="95">
        <v>10</v>
      </c>
      <c r="F52" s="108">
        <f t="shared" si="3"/>
        <v>10</v>
      </c>
      <c r="G52" s="91" t="s">
        <v>136</v>
      </c>
      <c r="H52" s="92" t="s">
        <v>137</v>
      </c>
    </row>
    <row r="53" spans="2:8" x14ac:dyDescent="0.15">
      <c r="B53" s="88" t="s">
        <v>138</v>
      </c>
      <c r="C53" s="95">
        <v>10</v>
      </c>
      <c r="D53" s="95">
        <v>10</v>
      </c>
      <c r="E53" s="95">
        <v>10</v>
      </c>
      <c r="F53" s="108">
        <f t="shared" si="3"/>
        <v>10</v>
      </c>
      <c r="G53" s="91" t="s">
        <v>136</v>
      </c>
      <c r="H53" s="92" t="s">
        <v>139</v>
      </c>
    </row>
    <row r="54" spans="2:8" x14ac:dyDescent="0.15">
      <c r="B54" s="88" t="s">
        <v>140</v>
      </c>
      <c r="C54" s="101">
        <v>0.14000000000000001</v>
      </c>
      <c r="D54" s="101">
        <v>0.14000000000000001</v>
      </c>
      <c r="E54" s="101">
        <v>0.14000000000000001</v>
      </c>
      <c r="F54" s="105">
        <f t="shared" si="3"/>
        <v>0.14000000000000001</v>
      </c>
      <c r="G54" s="91" t="s">
        <v>95</v>
      </c>
      <c r="H54" s="92" t="s">
        <v>141</v>
      </c>
    </row>
    <row r="56" spans="2:8" x14ac:dyDescent="0.15">
      <c r="B56" s="7" t="s">
        <v>142</v>
      </c>
      <c r="C56" s="7"/>
      <c r="D56" s="7"/>
      <c r="E56" s="7"/>
      <c r="F56" s="7"/>
      <c r="G56" s="7"/>
      <c r="H56" s="7"/>
    </row>
    <row r="57" spans="2:8" x14ac:dyDescent="0.15">
      <c r="B57" s="8" t="s">
        <v>143</v>
      </c>
      <c r="C57" s="23">
        <v>46388</v>
      </c>
      <c r="D57" s="23">
        <v>46388</v>
      </c>
      <c r="E57" s="23">
        <v>46388</v>
      </c>
      <c r="F57" s="24">
        <f>IF($D$4="Base",C57,IF($D$4="Best",D57,E57))</f>
        <v>46388</v>
      </c>
      <c r="G57" s="11" t="s">
        <v>144</v>
      </c>
      <c r="H57" s="12" t="s">
        <v>145</v>
      </c>
    </row>
    <row r="58" spans="2:8" x14ac:dyDescent="0.15">
      <c r="B58" s="8" t="s">
        <v>146</v>
      </c>
      <c r="C58" s="9">
        <v>18</v>
      </c>
      <c r="D58" s="9">
        <v>18</v>
      </c>
      <c r="E58" s="9">
        <v>18</v>
      </c>
      <c r="F58" s="10">
        <f>IF($D$4="Base",C58,IF($D$4="Best",D58,E58))</f>
        <v>18</v>
      </c>
      <c r="G58" s="11" t="s">
        <v>147</v>
      </c>
      <c r="H58" s="12" t="s">
        <v>148</v>
      </c>
    </row>
    <row r="59" spans="2:8" x14ac:dyDescent="0.15">
      <c r="B59" s="8" t="s">
        <v>149</v>
      </c>
      <c r="C59" s="23">
        <v>46935</v>
      </c>
      <c r="D59" s="23">
        <v>46935</v>
      </c>
      <c r="E59" s="23">
        <v>46935</v>
      </c>
      <c r="F59" s="24">
        <f>IF($D$4="Base",C59,IF($D$4="Best",D59,E59))</f>
        <v>46935</v>
      </c>
      <c r="G59" s="11" t="s">
        <v>144</v>
      </c>
      <c r="H59" s="12" t="s">
        <v>150</v>
      </c>
    </row>
    <row r="61" spans="2:8" x14ac:dyDescent="0.15">
      <c r="B61" s="7" t="s">
        <v>151</v>
      </c>
      <c r="C61" s="7"/>
      <c r="D61" s="7"/>
      <c r="E61" s="7"/>
      <c r="F61" s="7"/>
      <c r="G61" s="7"/>
      <c r="H61" s="7"/>
    </row>
    <row r="62" spans="2:8" x14ac:dyDescent="0.15">
      <c r="B62" s="25" t="s">
        <v>152</v>
      </c>
      <c r="C62" s="25"/>
      <c r="D62" s="25"/>
      <c r="E62" s="25"/>
      <c r="F62" s="25"/>
      <c r="G62" s="25"/>
      <c r="H62" s="25"/>
    </row>
    <row r="65" spans="2:8" x14ac:dyDescent="0.15">
      <c r="B65" s="7" t="s">
        <v>153</v>
      </c>
      <c r="C65" s="7"/>
      <c r="D65" s="7"/>
      <c r="E65" s="7"/>
      <c r="F65" s="7"/>
      <c r="G65" s="7"/>
      <c r="H65" s="7"/>
    </row>
    <row r="66" spans="2:8" ht="26" x14ac:dyDescent="0.15">
      <c r="B66" s="88" t="s">
        <v>154</v>
      </c>
      <c r="C66" s="89">
        <v>0.08</v>
      </c>
      <c r="D66" s="89">
        <v>0.08</v>
      </c>
      <c r="E66" s="89">
        <v>0.08</v>
      </c>
      <c r="F66" s="90">
        <f>IF($D$4="Base",C66,IF($D$4="Best",D66,E66))</f>
        <v>0.08</v>
      </c>
      <c r="G66" s="91" t="s">
        <v>155</v>
      </c>
      <c r="H66" s="92" t="s">
        <v>156</v>
      </c>
    </row>
    <row r="67" spans="2:8" ht="26" x14ac:dyDescent="0.15">
      <c r="B67" s="88" t="s">
        <v>157</v>
      </c>
      <c r="C67" s="89">
        <v>0.15</v>
      </c>
      <c r="D67" s="89">
        <v>0.15</v>
      </c>
      <c r="E67" s="89">
        <v>0.15</v>
      </c>
      <c r="F67" s="90">
        <f>IF($D$4="Base",C67,IF($D$4="Best",D67,E67))</f>
        <v>0.15</v>
      </c>
      <c r="G67" s="91" t="s">
        <v>129</v>
      </c>
      <c r="H67" s="92" t="s">
        <v>158</v>
      </c>
    </row>
    <row r="68" spans="2:8" ht="26" x14ac:dyDescent="0.15">
      <c r="B68" s="88" t="s">
        <v>159</v>
      </c>
      <c r="C68" s="99">
        <v>0.12</v>
      </c>
      <c r="D68" s="99">
        <v>0.1125</v>
      </c>
      <c r="E68" s="99">
        <v>0.13500000000000001</v>
      </c>
      <c r="F68" s="100">
        <f>IF($D$4="Base",C68,IF($D$4="Best",D68,E68))</f>
        <v>0.12</v>
      </c>
      <c r="G68" s="91" t="s">
        <v>95</v>
      </c>
      <c r="H68" s="92" t="s">
        <v>160</v>
      </c>
    </row>
    <row r="69" spans="2:8" ht="26" x14ac:dyDescent="0.15">
      <c r="B69" s="88" t="s">
        <v>161</v>
      </c>
      <c r="C69" s="95">
        <v>9</v>
      </c>
      <c r="D69" s="95">
        <v>9</v>
      </c>
      <c r="E69" s="95">
        <v>9</v>
      </c>
      <c r="F69" s="96">
        <f>IF($D$4="Base",C69,IF($D$4="Best",D69,E69))</f>
        <v>9</v>
      </c>
      <c r="G69" s="91" t="s">
        <v>162</v>
      </c>
      <c r="H69" s="92" t="s">
        <v>163</v>
      </c>
    </row>
    <row r="70" spans="2:8" x14ac:dyDescent="0.15">
      <c r="B70" s="7" t="s">
        <v>164</v>
      </c>
      <c r="C70" s="7"/>
      <c r="D70" s="7"/>
      <c r="E70" s="7"/>
      <c r="F70" s="7"/>
      <c r="G70" s="7"/>
      <c r="H70" s="7"/>
    </row>
    <row r="71" spans="2:8" ht="26" x14ac:dyDescent="0.15">
      <c r="B71" s="88" t="s">
        <v>165</v>
      </c>
      <c r="C71" s="110">
        <v>150</v>
      </c>
      <c r="D71" s="110">
        <v>150</v>
      </c>
      <c r="E71" s="110">
        <v>150</v>
      </c>
      <c r="F71" s="111">
        <f>IF($D$4="Base",C71,IF($D$4="Best",D71,E71))</f>
        <v>150</v>
      </c>
      <c r="G71" s="91" t="s">
        <v>102</v>
      </c>
      <c r="H71" s="92" t="s">
        <v>166</v>
      </c>
    </row>
    <row r="72" spans="2:8" ht="26" x14ac:dyDescent="0.15">
      <c r="B72" s="88" t="s">
        <v>167</v>
      </c>
      <c r="C72" s="95">
        <v>5</v>
      </c>
      <c r="D72" s="95">
        <v>5</v>
      </c>
      <c r="E72" s="95">
        <v>5</v>
      </c>
      <c r="F72" s="96">
        <f>IF($D$4="Base",C72,IF($D$4="Best",D72,E72))</f>
        <v>5</v>
      </c>
      <c r="G72" s="91" t="s">
        <v>136</v>
      </c>
      <c r="H72" s="92" t="s">
        <v>168</v>
      </c>
    </row>
    <row r="73" spans="2:8" x14ac:dyDescent="0.15">
      <c r="B73" s="88" t="s">
        <v>169</v>
      </c>
      <c r="C73" s="89">
        <v>0.04</v>
      </c>
      <c r="D73" s="89">
        <v>0.04</v>
      </c>
      <c r="E73" s="89">
        <v>0.04</v>
      </c>
      <c r="F73" s="90">
        <f>IF($D$4="Base",C73,IF($D$4="Best",D73,E73))</f>
        <v>0.04</v>
      </c>
      <c r="G73" s="91" t="s">
        <v>155</v>
      </c>
      <c r="H73" s="92" t="s">
        <v>170</v>
      </c>
    </row>
    <row r="74" spans="2:8" x14ac:dyDescent="0.15">
      <c r="B74" s="7" t="s">
        <v>171</v>
      </c>
      <c r="C74" s="7"/>
      <c r="D74" s="7"/>
      <c r="E74" s="7"/>
      <c r="F74" s="7"/>
      <c r="G74" s="7"/>
      <c r="H74" s="7"/>
    </row>
    <row r="75" spans="2:8" ht="26" x14ac:dyDescent="0.15">
      <c r="B75" s="88" t="s">
        <v>172</v>
      </c>
      <c r="C75" s="89">
        <v>0.15</v>
      </c>
      <c r="D75" s="89">
        <v>0.15</v>
      </c>
      <c r="E75" s="89">
        <v>0.15</v>
      </c>
      <c r="F75" s="90">
        <f>IF($D$4="Base",C75,IF($D$4="Best",D75,E75))</f>
        <v>0.15</v>
      </c>
      <c r="G75" s="91" t="s">
        <v>155</v>
      </c>
      <c r="H75" s="92" t="s">
        <v>173</v>
      </c>
    </row>
    <row r="76" spans="2:8" ht="26" x14ac:dyDescent="0.15">
      <c r="B76" s="88" t="s">
        <v>174</v>
      </c>
      <c r="C76" s="99">
        <v>0.14000000000000001</v>
      </c>
      <c r="D76" s="99">
        <v>0.13250000000000001</v>
      </c>
      <c r="E76" s="99">
        <v>0.155</v>
      </c>
      <c r="F76" s="100">
        <f>IF($D$4="Base",C76,IF($D$4="Best",D76,E76))</f>
        <v>0.14000000000000001</v>
      </c>
      <c r="G76" s="91" t="s">
        <v>95</v>
      </c>
      <c r="H76" s="92" t="s">
        <v>175</v>
      </c>
    </row>
    <row r="77" spans="2:8" x14ac:dyDescent="0.15">
      <c r="B77" s="7" t="s">
        <v>176</v>
      </c>
      <c r="C77" s="7"/>
      <c r="D77" s="7"/>
      <c r="E77" s="7"/>
      <c r="F77" s="7"/>
      <c r="G77" s="7"/>
      <c r="H77" s="7"/>
    </row>
    <row r="78" spans="2:8" ht="91" x14ac:dyDescent="0.15">
      <c r="B78" s="88" t="s">
        <v>177</v>
      </c>
      <c r="C78" s="89">
        <v>0.5</v>
      </c>
      <c r="D78" s="89">
        <v>0.5</v>
      </c>
      <c r="E78" s="89">
        <v>0.5</v>
      </c>
      <c r="F78" s="90">
        <f>IF($D$4="Base",C78,IF($D$4="Best",D78,E78))</f>
        <v>0.5</v>
      </c>
      <c r="G78" s="91" t="s">
        <v>178</v>
      </c>
      <c r="H78" s="92" t="s">
        <v>179</v>
      </c>
    </row>
    <row r="79" spans="2:8" x14ac:dyDescent="0.15">
      <c r="B79" s="7" t="s">
        <v>180</v>
      </c>
      <c r="C79" s="7"/>
      <c r="D79" s="7"/>
      <c r="E79" s="7"/>
      <c r="F79" s="7"/>
      <c r="G79" s="7"/>
      <c r="H79" s="7"/>
    </row>
    <row r="80" spans="2:8" ht="26" x14ac:dyDescent="0.15">
      <c r="B80" s="88" t="s">
        <v>181</v>
      </c>
      <c r="C80" s="89">
        <v>0.08</v>
      </c>
      <c r="D80" s="89">
        <v>0.08</v>
      </c>
      <c r="E80" s="89">
        <v>0.08</v>
      </c>
      <c r="F80" s="90">
        <f>IF($D$4="Base",C80,IF($D$4="Best",D80,E80))</f>
        <v>0.08</v>
      </c>
      <c r="G80" s="91" t="s">
        <v>182</v>
      </c>
      <c r="H80" s="92" t="s">
        <v>183</v>
      </c>
    </row>
    <row r="81" spans="2:8" x14ac:dyDescent="0.15">
      <c r="B81" s="7" t="s">
        <v>184</v>
      </c>
      <c r="C81" s="7"/>
      <c r="D81" s="7"/>
      <c r="E81" s="7"/>
      <c r="F81" s="7"/>
      <c r="G81" s="7"/>
      <c r="H81" s="7"/>
    </row>
    <row r="82" spans="2:8" ht="26" x14ac:dyDescent="0.15">
      <c r="B82" s="88" t="s">
        <v>185</v>
      </c>
      <c r="C82" s="103">
        <v>5</v>
      </c>
      <c r="D82" s="103">
        <v>5</v>
      </c>
      <c r="E82" s="103">
        <v>5</v>
      </c>
      <c r="F82" s="104">
        <f>IF($D$4="Base",C82,IF($D$4="Best",D82,E82))</f>
        <v>5</v>
      </c>
      <c r="G82" s="91" t="s">
        <v>120</v>
      </c>
      <c r="H82" s="92" t="s">
        <v>186</v>
      </c>
    </row>
    <row r="83" spans="2:8" x14ac:dyDescent="0.15">
      <c r="B83" s="88" t="s">
        <v>187</v>
      </c>
      <c r="C83" s="93">
        <v>2000000</v>
      </c>
      <c r="D83" s="93">
        <v>2000000</v>
      </c>
      <c r="E83" s="93">
        <v>2000000</v>
      </c>
      <c r="F83" s="94">
        <f>IF($D$4="Base",C83,IF($D$4="Best",D83,E83))</f>
        <v>2000000</v>
      </c>
      <c r="G83" s="91" t="s">
        <v>188</v>
      </c>
      <c r="H83" s="92" t="s">
        <v>189</v>
      </c>
    </row>
    <row r="84" spans="2:8" ht="26" x14ac:dyDescent="0.15">
      <c r="B84" s="88" t="s">
        <v>190</v>
      </c>
      <c r="C84" s="103">
        <v>1.1499999999999999</v>
      </c>
      <c r="D84" s="103">
        <v>1.1499999999999999</v>
      </c>
      <c r="E84" s="103">
        <v>1.1499999999999999</v>
      </c>
      <c r="F84" s="104">
        <f>IF($D$4="Base",C84,IF($D$4="Best",D84,E84))</f>
        <v>1.1499999999999999</v>
      </c>
      <c r="G84" s="91" t="s">
        <v>120</v>
      </c>
      <c r="H84" s="92" t="s">
        <v>191</v>
      </c>
    </row>
    <row r="85" spans="2:8" x14ac:dyDescent="0.15">
      <c r="B85" s="7" t="s">
        <v>192</v>
      </c>
      <c r="C85" s="7"/>
      <c r="D85" s="7"/>
      <c r="E85" s="7"/>
      <c r="F85" s="7"/>
      <c r="G85" s="7"/>
      <c r="H85" s="7"/>
    </row>
    <row r="86" spans="2:8" x14ac:dyDescent="0.15">
      <c r="B86" s="88" t="s">
        <v>193</v>
      </c>
      <c r="C86" s="95">
        <v>45</v>
      </c>
      <c r="D86" s="95">
        <v>45</v>
      </c>
      <c r="E86" s="95">
        <v>45</v>
      </c>
      <c r="F86" s="96">
        <f t="shared" ref="F86:F92" si="4">IF($D$4="Base",C86,IF($D$4="Best",D86,E86))</f>
        <v>45</v>
      </c>
      <c r="G86" s="91" t="s">
        <v>194</v>
      </c>
      <c r="H86" s="92" t="s">
        <v>195</v>
      </c>
    </row>
    <row r="87" spans="2:8" ht="26" x14ac:dyDescent="0.15">
      <c r="B87" s="88" t="s">
        <v>196</v>
      </c>
      <c r="C87" s="95">
        <v>30</v>
      </c>
      <c r="D87" s="95">
        <v>30</v>
      </c>
      <c r="E87" s="95">
        <v>30</v>
      </c>
      <c r="F87" s="96">
        <f t="shared" si="4"/>
        <v>30</v>
      </c>
      <c r="G87" s="91" t="s">
        <v>194</v>
      </c>
      <c r="H87" s="92" t="s">
        <v>197</v>
      </c>
    </row>
    <row r="88" spans="2:8" x14ac:dyDescent="0.15">
      <c r="B88" s="88" t="s">
        <v>198</v>
      </c>
      <c r="C88" s="95">
        <v>20</v>
      </c>
      <c r="D88" s="95">
        <v>20</v>
      </c>
      <c r="E88" s="95">
        <v>20</v>
      </c>
      <c r="F88" s="96">
        <f t="shared" si="4"/>
        <v>20</v>
      </c>
      <c r="G88" s="91" t="s">
        <v>194</v>
      </c>
      <c r="H88" s="92" t="s">
        <v>199</v>
      </c>
    </row>
    <row r="89" spans="2:8" x14ac:dyDescent="0.15">
      <c r="B89" s="88" t="s">
        <v>200</v>
      </c>
      <c r="C89" s="95">
        <v>30</v>
      </c>
      <c r="D89" s="95">
        <v>30</v>
      </c>
      <c r="E89" s="95">
        <v>30</v>
      </c>
      <c r="F89" s="96">
        <f t="shared" si="4"/>
        <v>30</v>
      </c>
      <c r="G89" s="91" t="s">
        <v>194</v>
      </c>
      <c r="H89" s="92" t="s">
        <v>201</v>
      </c>
    </row>
    <row r="90" spans="2:8" ht="26" x14ac:dyDescent="0.15">
      <c r="B90" s="88" t="s">
        <v>202</v>
      </c>
      <c r="C90" s="93">
        <v>15000000</v>
      </c>
      <c r="D90" s="93">
        <v>15000000</v>
      </c>
      <c r="E90" s="93">
        <v>15000000</v>
      </c>
      <c r="F90" s="94">
        <f t="shared" si="4"/>
        <v>15000000</v>
      </c>
      <c r="G90" s="91" t="s">
        <v>188</v>
      </c>
      <c r="H90" s="92" t="s">
        <v>203</v>
      </c>
    </row>
    <row r="91" spans="2:8" ht="26" x14ac:dyDescent="0.15">
      <c r="B91" s="88" t="s">
        <v>204</v>
      </c>
      <c r="C91" s="99">
        <v>0.11</v>
      </c>
      <c r="D91" s="99">
        <v>0.10249999999999999</v>
      </c>
      <c r="E91" s="99">
        <v>0.125</v>
      </c>
      <c r="F91" s="100">
        <f t="shared" si="4"/>
        <v>0.11</v>
      </c>
      <c r="G91" s="91" t="s">
        <v>95</v>
      </c>
      <c r="H91" s="92" t="s">
        <v>205</v>
      </c>
    </row>
    <row r="92" spans="2:8" ht="26" x14ac:dyDescent="0.15">
      <c r="B92" s="88" t="s">
        <v>206</v>
      </c>
      <c r="C92" s="89">
        <v>0.6</v>
      </c>
      <c r="D92" s="89">
        <v>0.6</v>
      </c>
      <c r="E92" s="89">
        <v>0.6</v>
      </c>
      <c r="F92" s="90">
        <f t="shared" si="4"/>
        <v>0.6</v>
      </c>
      <c r="G92" s="91" t="s">
        <v>207</v>
      </c>
      <c r="H92" s="92" t="s">
        <v>208</v>
      </c>
    </row>
    <row r="93" spans="2:8" x14ac:dyDescent="0.15">
      <c r="B93" s="7" t="s">
        <v>209</v>
      </c>
      <c r="C93" s="7"/>
      <c r="D93" s="7"/>
      <c r="E93" s="7"/>
      <c r="F93" s="7"/>
      <c r="G93" s="7"/>
      <c r="H93" s="7"/>
    </row>
    <row r="94" spans="2:8" x14ac:dyDescent="0.15">
      <c r="B94" s="88" t="s">
        <v>210</v>
      </c>
      <c r="C94" s="97">
        <v>0.7</v>
      </c>
      <c r="D94" s="97">
        <v>0.75</v>
      </c>
      <c r="E94" s="97">
        <v>0.6</v>
      </c>
      <c r="F94" s="98">
        <f>IF($D$4="Base",C94,IF($D$4="Best",D94,E94))</f>
        <v>0.7</v>
      </c>
      <c r="G94" s="91" t="s">
        <v>211</v>
      </c>
      <c r="H94" s="92" t="s">
        <v>212</v>
      </c>
    </row>
    <row r="95" spans="2:8" ht="26" x14ac:dyDescent="0.15">
      <c r="B95" s="88" t="s">
        <v>213</v>
      </c>
      <c r="C95" s="97">
        <v>1.3</v>
      </c>
      <c r="D95" s="97">
        <v>1.25</v>
      </c>
      <c r="E95" s="97">
        <v>1.4</v>
      </c>
      <c r="F95" s="98">
        <f>IF($D$4="Base",C95,IF($D$4="Best",D95,E95))</f>
        <v>1.3</v>
      </c>
      <c r="G95" s="91" t="s">
        <v>211</v>
      </c>
      <c r="H95" s="92" t="s">
        <v>214</v>
      </c>
    </row>
    <row r="96" spans="2:8" x14ac:dyDescent="0.15">
      <c r="B96" s="7" t="s">
        <v>215</v>
      </c>
      <c r="C96" s="7"/>
      <c r="D96" s="7"/>
      <c r="E96" s="7"/>
      <c r="F96" s="7"/>
      <c r="G96" s="7"/>
      <c r="H96" s="7"/>
    </row>
    <row r="97" spans="2:8" ht="26" x14ac:dyDescent="0.15">
      <c r="B97" s="88" t="s">
        <v>216</v>
      </c>
      <c r="C97" s="89">
        <v>0.85</v>
      </c>
      <c r="D97" s="89">
        <v>0.85</v>
      </c>
      <c r="E97" s="89">
        <v>0.85</v>
      </c>
      <c r="F97" s="90">
        <f>IF($D$4="Base",C97,IF($D$4="Best",D97,E97))</f>
        <v>0.85</v>
      </c>
      <c r="G97" s="91" t="s">
        <v>217</v>
      </c>
      <c r="H97" s="92" t="s">
        <v>218</v>
      </c>
    </row>
    <row r="98" spans="2:8" ht="26" x14ac:dyDescent="0.15">
      <c r="B98" s="88" t="s">
        <v>219</v>
      </c>
      <c r="C98" s="89">
        <v>0.9</v>
      </c>
      <c r="D98" s="89">
        <v>0.9</v>
      </c>
      <c r="E98" s="89">
        <v>0.9</v>
      </c>
      <c r="F98" s="90">
        <f>IF($D$4="Base",C98,IF($D$4="Best",D98,E98))</f>
        <v>0.9</v>
      </c>
      <c r="G98" s="91" t="s">
        <v>220</v>
      </c>
      <c r="H98" s="92" t="s">
        <v>221</v>
      </c>
    </row>
    <row r="99" spans="2:8" ht="26" x14ac:dyDescent="0.15">
      <c r="B99" s="88" t="s">
        <v>222</v>
      </c>
      <c r="C99" s="95">
        <v>5</v>
      </c>
      <c r="D99" s="95">
        <v>5</v>
      </c>
      <c r="E99" s="95">
        <v>5</v>
      </c>
      <c r="F99" s="96">
        <f>IF($D$4="Base",C99,IF($D$4="Best",D99,E99))</f>
        <v>5</v>
      </c>
      <c r="G99" s="91" t="s">
        <v>223</v>
      </c>
      <c r="H99" s="92" t="s">
        <v>224</v>
      </c>
    </row>
    <row r="100" spans="2:8" ht="26" x14ac:dyDescent="0.15">
      <c r="B100" s="88" t="s">
        <v>225</v>
      </c>
      <c r="C100" s="89">
        <v>-0.1</v>
      </c>
      <c r="D100" s="89">
        <v>-0.05</v>
      </c>
      <c r="E100" s="89">
        <v>-0.2</v>
      </c>
      <c r="F100" s="90">
        <f>IF($D$4="Base",C100,IF($D$4="Best",D100,E100))</f>
        <v>-0.1</v>
      </c>
      <c r="G100" s="91" t="s">
        <v>226</v>
      </c>
      <c r="H100" s="92" t="s">
        <v>227</v>
      </c>
    </row>
    <row r="101" spans="2:8" x14ac:dyDescent="0.15">
      <c r="B101" s="7" t="s">
        <v>228</v>
      </c>
      <c r="C101" s="7"/>
      <c r="D101" s="7"/>
      <c r="E101" s="7"/>
      <c r="F101" s="7"/>
      <c r="G101" s="7"/>
      <c r="H101" s="7"/>
    </row>
    <row r="102" spans="2:8" ht="26" x14ac:dyDescent="0.15">
      <c r="B102" s="88" t="s">
        <v>229</v>
      </c>
      <c r="C102" s="103">
        <v>5</v>
      </c>
      <c r="D102" s="103">
        <v>6</v>
      </c>
      <c r="E102" s="103">
        <v>4</v>
      </c>
      <c r="F102" s="104">
        <f>IF($D$4="Base",C102,IF($D$4="Best",D102,E102))</f>
        <v>5</v>
      </c>
      <c r="G102" s="91" t="s">
        <v>120</v>
      </c>
      <c r="H102" s="92" t="s">
        <v>230</v>
      </c>
    </row>
    <row r="104" spans="2:8" x14ac:dyDescent="0.15">
      <c r="B104" s="7" t="s">
        <v>231</v>
      </c>
      <c r="C104" s="7"/>
      <c r="D104" s="7"/>
      <c r="E104" s="7"/>
      <c r="F104" s="7"/>
      <c r="G104" s="7"/>
      <c r="H104" s="7"/>
    </row>
    <row r="105" spans="2:8" ht="52" x14ac:dyDescent="0.15">
      <c r="B105" s="112" t="s">
        <v>232</v>
      </c>
      <c r="C105" s="97">
        <v>0.3</v>
      </c>
      <c r="D105" s="97">
        <v>0.3</v>
      </c>
      <c r="E105" s="97">
        <v>0.3</v>
      </c>
      <c r="F105" s="98">
        <f>IF($D$4="Base",C105,IF($D$4="Best",D105,E105))</f>
        <v>0.3</v>
      </c>
      <c r="G105" s="91" t="s">
        <v>233</v>
      </c>
      <c r="H105" s="92" t="s">
        <v>234</v>
      </c>
    </row>
  </sheetData>
  <mergeCells count="21">
    <mergeCell ref="B104:H104"/>
    <mergeCell ref="B81:H81"/>
    <mergeCell ref="B85:H85"/>
    <mergeCell ref="B93:H93"/>
    <mergeCell ref="B96:H96"/>
    <mergeCell ref="B101:H101"/>
    <mergeCell ref="B65:H65"/>
    <mergeCell ref="B70:H70"/>
    <mergeCell ref="B74:H74"/>
    <mergeCell ref="B77:H77"/>
    <mergeCell ref="B79:H79"/>
    <mergeCell ref="B40:H40"/>
    <mergeCell ref="B48:H48"/>
    <mergeCell ref="B56:H56"/>
    <mergeCell ref="B61:H61"/>
    <mergeCell ref="B62:H62"/>
    <mergeCell ref="B2:H3"/>
    <mergeCell ref="B8:H8"/>
    <mergeCell ref="B19:H19"/>
    <mergeCell ref="B28:H28"/>
    <mergeCell ref="B35:H35"/>
  </mergeCells>
  <hyperlinks>
    <hyperlink ref="E4" location="Cover!A1" display="&lt;&lt;&lt;&lt;" xr:uid="{C06A29F1-FF5C-D549-BDA5-1C53E5036A49}"/>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6B69"/>
  </sheetPr>
  <dimension ref="B2:I49"/>
  <sheetViews>
    <sheetView showGridLines="0" zoomScaleNormal="100" workbookViewId="0">
      <pane xSplit="2" ySplit="7" topLeftCell="C8" activePane="bottomRight" state="frozen"/>
      <selection activeCell="H27" sqref="H27"/>
      <selection pane="topRight" activeCell="H27" sqref="H27"/>
      <selection pane="bottomLeft" activeCell="H27" sqref="H27"/>
      <selection pane="bottomRight" activeCell="G43" sqref="G43"/>
    </sheetView>
  </sheetViews>
  <sheetFormatPr baseColWidth="10" defaultColWidth="8.6640625" defaultRowHeight="14" x14ac:dyDescent="0.15"/>
  <cols>
    <col min="1" max="1" width="3" style="2" customWidth="1"/>
    <col min="2" max="2" width="10" style="2" customWidth="1"/>
    <col min="3" max="4" width="16" style="2" customWidth="1"/>
    <col min="5" max="5" width="11" style="2" bestFit="1" customWidth="1"/>
    <col min="6" max="6" width="11.1640625" style="2" bestFit="1" customWidth="1"/>
    <col min="7" max="8" width="14" style="2" customWidth="1"/>
    <col min="9" max="9" width="30" style="2" customWidth="1"/>
    <col min="10" max="16384" width="8.6640625" style="2"/>
  </cols>
  <sheetData>
    <row r="2" spans="2:9" x14ac:dyDescent="0.15">
      <c r="B2" s="1" t="s">
        <v>235</v>
      </c>
      <c r="C2" s="1"/>
      <c r="D2" s="1"/>
      <c r="E2" s="1"/>
      <c r="F2" s="1"/>
      <c r="G2" s="1"/>
      <c r="H2" s="1"/>
      <c r="I2" s="1"/>
    </row>
    <row r="3" spans="2:9" x14ac:dyDescent="0.15">
      <c r="B3" s="1"/>
      <c r="C3" s="1"/>
      <c r="D3" s="1"/>
      <c r="E3" s="1"/>
      <c r="F3" s="1"/>
      <c r="G3" s="1"/>
      <c r="H3" s="1"/>
      <c r="I3" s="1"/>
    </row>
    <row r="4" spans="2:9" x14ac:dyDescent="0.15">
      <c r="B4" s="28" t="s">
        <v>236</v>
      </c>
    </row>
    <row r="6" spans="2:9" x14ac:dyDescent="0.15">
      <c r="B6" s="7" t="s">
        <v>237</v>
      </c>
      <c r="C6" s="7"/>
      <c r="D6" s="7"/>
      <c r="E6" s="7"/>
    </row>
    <row r="7" spans="2:9" x14ac:dyDescent="0.15">
      <c r="B7" s="31" t="s">
        <v>238</v>
      </c>
      <c r="C7" s="31" t="s">
        <v>239</v>
      </c>
      <c r="D7" s="31" t="s">
        <v>240</v>
      </c>
      <c r="E7" s="31" t="s">
        <v>241</v>
      </c>
    </row>
    <row r="8" spans="2:9" x14ac:dyDescent="0.15">
      <c r="B8" s="70">
        <v>1</v>
      </c>
      <c r="C8" s="52">
        <f>Assumptions!$F$57</f>
        <v>46388</v>
      </c>
      <c r="D8" s="71">
        <f t="shared" ref="D8:D25" si="0">EDATE(C8,1)-1</f>
        <v>46418</v>
      </c>
      <c r="E8" s="70">
        <f t="shared" ref="E8:E25" si="1">B8</f>
        <v>1</v>
      </c>
    </row>
    <row r="9" spans="2:9" x14ac:dyDescent="0.15">
      <c r="B9" s="70">
        <v>2</v>
      </c>
      <c r="C9" s="52">
        <f t="shared" ref="C9:C25" si="2">EDATE(C8,1)</f>
        <v>46419</v>
      </c>
      <c r="D9" s="71">
        <f t="shared" si="0"/>
        <v>46446</v>
      </c>
      <c r="E9" s="70">
        <f t="shared" si="1"/>
        <v>2</v>
      </c>
    </row>
    <row r="10" spans="2:9" x14ac:dyDescent="0.15">
      <c r="B10" s="70">
        <v>3</v>
      </c>
      <c r="C10" s="52">
        <f t="shared" si="2"/>
        <v>46447</v>
      </c>
      <c r="D10" s="71">
        <f t="shared" si="0"/>
        <v>46477</v>
      </c>
      <c r="E10" s="70">
        <f t="shared" si="1"/>
        <v>3</v>
      </c>
    </row>
    <row r="11" spans="2:9" x14ac:dyDescent="0.15">
      <c r="B11" s="70">
        <v>4</v>
      </c>
      <c r="C11" s="52">
        <f t="shared" si="2"/>
        <v>46478</v>
      </c>
      <c r="D11" s="71">
        <f t="shared" si="0"/>
        <v>46507</v>
      </c>
      <c r="E11" s="70">
        <f t="shared" si="1"/>
        <v>4</v>
      </c>
    </row>
    <row r="12" spans="2:9" x14ac:dyDescent="0.15">
      <c r="B12" s="70">
        <v>5</v>
      </c>
      <c r="C12" s="52">
        <f t="shared" si="2"/>
        <v>46508</v>
      </c>
      <c r="D12" s="71">
        <f t="shared" si="0"/>
        <v>46538</v>
      </c>
      <c r="E12" s="70">
        <f t="shared" si="1"/>
        <v>5</v>
      </c>
    </row>
    <row r="13" spans="2:9" x14ac:dyDescent="0.15">
      <c r="B13" s="70">
        <v>6</v>
      </c>
      <c r="C13" s="52">
        <f t="shared" si="2"/>
        <v>46539</v>
      </c>
      <c r="D13" s="71">
        <f t="shared" si="0"/>
        <v>46568</v>
      </c>
      <c r="E13" s="70">
        <f t="shared" si="1"/>
        <v>6</v>
      </c>
    </row>
    <row r="14" spans="2:9" x14ac:dyDescent="0.15">
      <c r="B14" s="70">
        <v>7</v>
      </c>
      <c r="C14" s="52">
        <f t="shared" si="2"/>
        <v>46569</v>
      </c>
      <c r="D14" s="71">
        <f t="shared" si="0"/>
        <v>46599</v>
      </c>
      <c r="E14" s="70">
        <f t="shared" si="1"/>
        <v>7</v>
      </c>
    </row>
    <row r="15" spans="2:9" x14ac:dyDescent="0.15">
      <c r="B15" s="70">
        <v>8</v>
      </c>
      <c r="C15" s="52">
        <f t="shared" si="2"/>
        <v>46600</v>
      </c>
      <c r="D15" s="71">
        <f t="shared" si="0"/>
        <v>46630</v>
      </c>
      <c r="E15" s="70">
        <f t="shared" si="1"/>
        <v>8</v>
      </c>
    </row>
    <row r="16" spans="2:9" x14ac:dyDescent="0.15">
      <c r="B16" s="70">
        <v>9</v>
      </c>
      <c r="C16" s="52">
        <f t="shared" si="2"/>
        <v>46631</v>
      </c>
      <c r="D16" s="71">
        <f t="shared" si="0"/>
        <v>46660</v>
      </c>
      <c r="E16" s="70">
        <f t="shared" si="1"/>
        <v>9</v>
      </c>
    </row>
    <row r="17" spans="2:9" x14ac:dyDescent="0.15">
      <c r="B17" s="70">
        <v>10</v>
      </c>
      <c r="C17" s="52">
        <f t="shared" si="2"/>
        <v>46661</v>
      </c>
      <c r="D17" s="71">
        <f t="shared" si="0"/>
        <v>46691</v>
      </c>
      <c r="E17" s="70">
        <f t="shared" si="1"/>
        <v>10</v>
      </c>
    </row>
    <row r="18" spans="2:9" x14ac:dyDescent="0.15">
      <c r="B18" s="70">
        <v>11</v>
      </c>
      <c r="C18" s="52">
        <f t="shared" si="2"/>
        <v>46692</v>
      </c>
      <c r="D18" s="71">
        <f t="shared" si="0"/>
        <v>46721</v>
      </c>
      <c r="E18" s="70">
        <f t="shared" si="1"/>
        <v>11</v>
      </c>
    </row>
    <row r="19" spans="2:9" x14ac:dyDescent="0.15">
      <c r="B19" s="70">
        <v>12</v>
      </c>
      <c r="C19" s="52">
        <f t="shared" si="2"/>
        <v>46722</v>
      </c>
      <c r="D19" s="71">
        <f t="shared" si="0"/>
        <v>46752</v>
      </c>
      <c r="E19" s="70">
        <f t="shared" si="1"/>
        <v>12</v>
      </c>
    </row>
    <row r="20" spans="2:9" x14ac:dyDescent="0.15">
      <c r="B20" s="70">
        <v>13</v>
      </c>
      <c r="C20" s="52">
        <f t="shared" si="2"/>
        <v>46753</v>
      </c>
      <c r="D20" s="71">
        <f t="shared" si="0"/>
        <v>46783</v>
      </c>
      <c r="E20" s="70">
        <f t="shared" si="1"/>
        <v>13</v>
      </c>
    </row>
    <row r="21" spans="2:9" x14ac:dyDescent="0.15">
      <c r="B21" s="70">
        <v>14</v>
      </c>
      <c r="C21" s="52">
        <f t="shared" si="2"/>
        <v>46784</v>
      </c>
      <c r="D21" s="71">
        <f t="shared" si="0"/>
        <v>46812</v>
      </c>
      <c r="E21" s="70">
        <f t="shared" si="1"/>
        <v>14</v>
      </c>
    </row>
    <row r="22" spans="2:9" x14ac:dyDescent="0.15">
      <c r="B22" s="70">
        <v>15</v>
      </c>
      <c r="C22" s="52">
        <f t="shared" si="2"/>
        <v>46813</v>
      </c>
      <c r="D22" s="71">
        <f t="shared" si="0"/>
        <v>46843</v>
      </c>
      <c r="E22" s="70">
        <f t="shared" si="1"/>
        <v>15</v>
      </c>
    </row>
    <row r="23" spans="2:9" x14ac:dyDescent="0.15">
      <c r="B23" s="70">
        <v>16</v>
      </c>
      <c r="C23" s="52">
        <f t="shared" si="2"/>
        <v>46844</v>
      </c>
      <c r="D23" s="71">
        <f t="shared" si="0"/>
        <v>46873</v>
      </c>
      <c r="E23" s="70">
        <f t="shared" si="1"/>
        <v>16</v>
      </c>
    </row>
    <row r="24" spans="2:9" x14ac:dyDescent="0.15">
      <c r="B24" s="70">
        <v>17</v>
      </c>
      <c r="C24" s="52">
        <f t="shared" si="2"/>
        <v>46874</v>
      </c>
      <c r="D24" s="71">
        <f t="shared" si="0"/>
        <v>46904</v>
      </c>
      <c r="E24" s="70">
        <f t="shared" si="1"/>
        <v>17</v>
      </c>
    </row>
    <row r="25" spans="2:9" x14ac:dyDescent="0.15">
      <c r="B25" s="70">
        <v>18</v>
      </c>
      <c r="C25" s="52">
        <f t="shared" si="2"/>
        <v>46905</v>
      </c>
      <c r="D25" s="71">
        <f t="shared" si="0"/>
        <v>46934</v>
      </c>
      <c r="E25" s="70">
        <f t="shared" si="1"/>
        <v>18</v>
      </c>
    </row>
    <row r="28" spans="2:9" x14ac:dyDescent="0.15">
      <c r="B28" s="7" t="s">
        <v>242</v>
      </c>
      <c r="C28" s="7"/>
      <c r="D28" s="7"/>
      <c r="E28" s="7"/>
      <c r="F28" s="7"/>
      <c r="G28" s="7"/>
      <c r="H28" s="7"/>
      <c r="I28" s="7"/>
    </row>
    <row r="29" spans="2:9" ht="26" x14ac:dyDescent="0.15">
      <c r="B29" s="31" t="s">
        <v>243</v>
      </c>
      <c r="C29" s="31" t="s">
        <v>244</v>
      </c>
      <c r="D29" s="31" t="s">
        <v>245</v>
      </c>
      <c r="E29" s="31" t="s">
        <v>246</v>
      </c>
      <c r="F29" s="31" t="s">
        <v>247</v>
      </c>
      <c r="G29" s="31" t="s">
        <v>248</v>
      </c>
      <c r="H29" s="31" t="s">
        <v>249</v>
      </c>
      <c r="I29" s="31"/>
    </row>
    <row r="30" spans="2:9" x14ac:dyDescent="0.15">
      <c r="B30" s="70">
        <v>1</v>
      </c>
      <c r="C30" s="70">
        <f t="shared" ref="C30:C49" si="3">ROUNDUP(B30/2,0)</f>
        <v>1</v>
      </c>
      <c r="D30" s="8" t="str">
        <f t="shared" ref="D30:D49" si="4">IF(MOD(B30,2)=1,"H1","H2")</f>
        <v>H1</v>
      </c>
      <c r="E30" s="52">
        <f>Assumptions!$F$59</f>
        <v>46935</v>
      </c>
      <c r="F30" s="71">
        <f t="shared" ref="F30:F49" si="5">EDATE(E30,6)-1</f>
        <v>47118</v>
      </c>
      <c r="G30" s="65">
        <f t="shared" ref="G30:G49" si="6">((B30-1)+0.5)/2</f>
        <v>0.25</v>
      </c>
      <c r="H30" s="70">
        <f t="shared" ref="H30:H49" si="7">F30-E30+1</f>
        <v>184</v>
      </c>
    </row>
    <row r="31" spans="2:9" x14ac:dyDescent="0.15">
      <c r="B31" s="70">
        <v>2</v>
      </c>
      <c r="C31" s="70">
        <f t="shared" si="3"/>
        <v>1</v>
      </c>
      <c r="D31" s="8" t="str">
        <f t="shared" si="4"/>
        <v>H2</v>
      </c>
      <c r="E31" s="52">
        <f t="shared" ref="E31:E49" si="8">EDATE(E30,6)</f>
        <v>47119</v>
      </c>
      <c r="F31" s="71">
        <f t="shared" si="5"/>
        <v>47299</v>
      </c>
      <c r="G31" s="65">
        <f t="shared" si="6"/>
        <v>0.75</v>
      </c>
      <c r="H31" s="70">
        <f t="shared" si="7"/>
        <v>181</v>
      </c>
    </row>
    <row r="32" spans="2:9" x14ac:dyDescent="0.15">
      <c r="B32" s="70">
        <v>3</v>
      </c>
      <c r="C32" s="70">
        <f t="shared" si="3"/>
        <v>2</v>
      </c>
      <c r="D32" s="8" t="str">
        <f t="shared" si="4"/>
        <v>H1</v>
      </c>
      <c r="E32" s="52">
        <f t="shared" si="8"/>
        <v>47300</v>
      </c>
      <c r="F32" s="71">
        <f t="shared" si="5"/>
        <v>47483</v>
      </c>
      <c r="G32" s="65">
        <f t="shared" si="6"/>
        <v>1.25</v>
      </c>
      <c r="H32" s="70">
        <f t="shared" si="7"/>
        <v>184</v>
      </c>
    </row>
    <row r="33" spans="2:8" x14ac:dyDescent="0.15">
      <c r="B33" s="70">
        <v>4</v>
      </c>
      <c r="C33" s="70">
        <f t="shared" si="3"/>
        <v>2</v>
      </c>
      <c r="D33" s="8" t="str">
        <f t="shared" si="4"/>
        <v>H2</v>
      </c>
      <c r="E33" s="52">
        <f t="shared" si="8"/>
        <v>47484</v>
      </c>
      <c r="F33" s="71">
        <f t="shared" si="5"/>
        <v>47664</v>
      </c>
      <c r="G33" s="65">
        <f t="shared" si="6"/>
        <v>1.75</v>
      </c>
      <c r="H33" s="70">
        <f t="shared" si="7"/>
        <v>181</v>
      </c>
    </row>
    <row r="34" spans="2:8" x14ac:dyDescent="0.15">
      <c r="B34" s="70">
        <v>5</v>
      </c>
      <c r="C34" s="70">
        <f t="shared" si="3"/>
        <v>3</v>
      </c>
      <c r="D34" s="8" t="str">
        <f t="shared" si="4"/>
        <v>H1</v>
      </c>
      <c r="E34" s="52">
        <f t="shared" si="8"/>
        <v>47665</v>
      </c>
      <c r="F34" s="71">
        <f t="shared" si="5"/>
        <v>47848</v>
      </c>
      <c r="G34" s="65">
        <f t="shared" si="6"/>
        <v>2.25</v>
      </c>
      <c r="H34" s="70">
        <f t="shared" si="7"/>
        <v>184</v>
      </c>
    </row>
    <row r="35" spans="2:8" x14ac:dyDescent="0.15">
      <c r="B35" s="70">
        <v>6</v>
      </c>
      <c r="C35" s="70">
        <f t="shared" si="3"/>
        <v>3</v>
      </c>
      <c r="D35" s="8" t="str">
        <f t="shared" si="4"/>
        <v>H2</v>
      </c>
      <c r="E35" s="52">
        <f t="shared" si="8"/>
        <v>47849</v>
      </c>
      <c r="F35" s="71">
        <f t="shared" si="5"/>
        <v>48029</v>
      </c>
      <c r="G35" s="65">
        <f t="shared" si="6"/>
        <v>2.75</v>
      </c>
      <c r="H35" s="70">
        <f t="shared" si="7"/>
        <v>181</v>
      </c>
    </row>
    <row r="36" spans="2:8" x14ac:dyDescent="0.15">
      <c r="B36" s="70">
        <v>7</v>
      </c>
      <c r="C36" s="70">
        <f t="shared" si="3"/>
        <v>4</v>
      </c>
      <c r="D36" s="8" t="str">
        <f t="shared" si="4"/>
        <v>H1</v>
      </c>
      <c r="E36" s="52">
        <f t="shared" si="8"/>
        <v>48030</v>
      </c>
      <c r="F36" s="71">
        <f t="shared" si="5"/>
        <v>48213</v>
      </c>
      <c r="G36" s="65">
        <f t="shared" si="6"/>
        <v>3.25</v>
      </c>
      <c r="H36" s="70">
        <f t="shared" si="7"/>
        <v>184</v>
      </c>
    </row>
    <row r="37" spans="2:8" x14ac:dyDescent="0.15">
      <c r="B37" s="70">
        <v>8</v>
      </c>
      <c r="C37" s="70">
        <f t="shared" si="3"/>
        <v>4</v>
      </c>
      <c r="D37" s="8" t="str">
        <f t="shared" si="4"/>
        <v>H2</v>
      </c>
      <c r="E37" s="52">
        <f t="shared" si="8"/>
        <v>48214</v>
      </c>
      <c r="F37" s="71">
        <f t="shared" si="5"/>
        <v>48395</v>
      </c>
      <c r="G37" s="65">
        <f t="shared" si="6"/>
        <v>3.75</v>
      </c>
      <c r="H37" s="70">
        <f t="shared" si="7"/>
        <v>182</v>
      </c>
    </row>
    <row r="38" spans="2:8" x14ac:dyDescent="0.15">
      <c r="B38" s="70">
        <v>9</v>
      </c>
      <c r="C38" s="70">
        <f t="shared" si="3"/>
        <v>5</v>
      </c>
      <c r="D38" s="8" t="str">
        <f t="shared" si="4"/>
        <v>H1</v>
      </c>
      <c r="E38" s="52">
        <f t="shared" si="8"/>
        <v>48396</v>
      </c>
      <c r="F38" s="71">
        <f t="shared" si="5"/>
        <v>48579</v>
      </c>
      <c r="G38" s="65">
        <f t="shared" si="6"/>
        <v>4.25</v>
      </c>
      <c r="H38" s="70">
        <f t="shared" si="7"/>
        <v>184</v>
      </c>
    </row>
    <row r="39" spans="2:8" x14ac:dyDescent="0.15">
      <c r="B39" s="70">
        <v>10</v>
      </c>
      <c r="C39" s="70">
        <f t="shared" si="3"/>
        <v>5</v>
      </c>
      <c r="D39" s="8" t="str">
        <f t="shared" si="4"/>
        <v>H2</v>
      </c>
      <c r="E39" s="52">
        <f t="shared" si="8"/>
        <v>48580</v>
      </c>
      <c r="F39" s="71">
        <f t="shared" si="5"/>
        <v>48760</v>
      </c>
      <c r="G39" s="65">
        <f t="shared" si="6"/>
        <v>4.75</v>
      </c>
      <c r="H39" s="70">
        <f t="shared" si="7"/>
        <v>181</v>
      </c>
    </row>
    <row r="40" spans="2:8" x14ac:dyDescent="0.15">
      <c r="B40" s="70">
        <v>11</v>
      </c>
      <c r="C40" s="70">
        <f t="shared" si="3"/>
        <v>6</v>
      </c>
      <c r="D40" s="8" t="str">
        <f t="shared" si="4"/>
        <v>H1</v>
      </c>
      <c r="E40" s="52">
        <f t="shared" si="8"/>
        <v>48761</v>
      </c>
      <c r="F40" s="71">
        <f t="shared" si="5"/>
        <v>48944</v>
      </c>
      <c r="G40" s="65">
        <f t="shared" si="6"/>
        <v>5.25</v>
      </c>
      <c r="H40" s="70">
        <f t="shared" si="7"/>
        <v>184</v>
      </c>
    </row>
    <row r="41" spans="2:8" x14ac:dyDescent="0.15">
      <c r="B41" s="70">
        <v>12</v>
      </c>
      <c r="C41" s="70">
        <f t="shared" si="3"/>
        <v>6</v>
      </c>
      <c r="D41" s="8" t="str">
        <f t="shared" si="4"/>
        <v>H2</v>
      </c>
      <c r="E41" s="52">
        <f t="shared" si="8"/>
        <v>48945</v>
      </c>
      <c r="F41" s="71">
        <f t="shared" si="5"/>
        <v>49125</v>
      </c>
      <c r="G41" s="65">
        <f t="shared" si="6"/>
        <v>5.75</v>
      </c>
      <c r="H41" s="70">
        <f t="shared" si="7"/>
        <v>181</v>
      </c>
    </row>
    <row r="42" spans="2:8" x14ac:dyDescent="0.15">
      <c r="B42" s="70">
        <v>13</v>
      </c>
      <c r="C42" s="70">
        <f t="shared" si="3"/>
        <v>7</v>
      </c>
      <c r="D42" s="8" t="str">
        <f t="shared" si="4"/>
        <v>H1</v>
      </c>
      <c r="E42" s="52">
        <f t="shared" si="8"/>
        <v>49126</v>
      </c>
      <c r="F42" s="71">
        <f t="shared" si="5"/>
        <v>49309</v>
      </c>
      <c r="G42" s="65">
        <f>((B42-1)+0.5)/2</f>
        <v>6.25</v>
      </c>
      <c r="H42" s="70">
        <f t="shared" si="7"/>
        <v>184</v>
      </c>
    </row>
    <row r="43" spans="2:8" x14ac:dyDescent="0.15">
      <c r="B43" s="70">
        <v>14</v>
      </c>
      <c r="C43" s="70">
        <f t="shared" si="3"/>
        <v>7</v>
      </c>
      <c r="D43" s="8" t="str">
        <f t="shared" si="4"/>
        <v>H2</v>
      </c>
      <c r="E43" s="52">
        <f t="shared" si="8"/>
        <v>49310</v>
      </c>
      <c r="F43" s="71">
        <f t="shared" si="5"/>
        <v>49490</v>
      </c>
      <c r="G43" s="65">
        <f t="shared" si="6"/>
        <v>6.75</v>
      </c>
      <c r="H43" s="70">
        <f t="shared" si="7"/>
        <v>181</v>
      </c>
    </row>
    <row r="44" spans="2:8" x14ac:dyDescent="0.15">
      <c r="B44" s="70">
        <v>15</v>
      </c>
      <c r="C44" s="70">
        <f t="shared" si="3"/>
        <v>8</v>
      </c>
      <c r="D44" s="8" t="str">
        <f t="shared" si="4"/>
        <v>H1</v>
      </c>
      <c r="E44" s="52">
        <f t="shared" si="8"/>
        <v>49491</v>
      </c>
      <c r="F44" s="71">
        <f t="shared" si="5"/>
        <v>49674</v>
      </c>
      <c r="G44" s="65">
        <f t="shared" si="6"/>
        <v>7.25</v>
      </c>
      <c r="H44" s="70">
        <f t="shared" si="7"/>
        <v>184</v>
      </c>
    </row>
    <row r="45" spans="2:8" x14ac:dyDescent="0.15">
      <c r="B45" s="70">
        <v>16</v>
      </c>
      <c r="C45" s="70">
        <f t="shared" si="3"/>
        <v>8</v>
      </c>
      <c r="D45" s="8" t="str">
        <f t="shared" si="4"/>
        <v>H2</v>
      </c>
      <c r="E45" s="52">
        <f t="shared" si="8"/>
        <v>49675</v>
      </c>
      <c r="F45" s="71">
        <f t="shared" si="5"/>
        <v>49856</v>
      </c>
      <c r="G45" s="65">
        <f t="shared" si="6"/>
        <v>7.75</v>
      </c>
      <c r="H45" s="70">
        <f t="shared" si="7"/>
        <v>182</v>
      </c>
    </row>
    <row r="46" spans="2:8" x14ac:dyDescent="0.15">
      <c r="B46" s="70">
        <v>17</v>
      </c>
      <c r="C46" s="70">
        <f t="shared" si="3"/>
        <v>9</v>
      </c>
      <c r="D46" s="8" t="str">
        <f t="shared" si="4"/>
        <v>H1</v>
      </c>
      <c r="E46" s="52">
        <f t="shared" si="8"/>
        <v>49857</v>
      </c>
      <c r="F46" s="71">
        <f t="shared" si="5"/>
        <v>50040</v>
      </c>
      <c r="G46" s="65">
        <f t="shared" si="6"/>
        <v>8.25</v>
      </c>
      <c r="H46" s="70">
        <f t="shared" si="7"/>
        <v>184</v>
      </c>
    </row>
    <row r="47" spans="2:8" x14ac:dyDescent="0.15">
      <c r="B47" s="70">
        <v>18</v>
      </c>
      <c r="C47" s="70">
        <f t="shared" si="3"/>
        <v>9</v>
      </c>
      <c r="D47" s="8" t="str">
        <f t="shared" si="4"/>
        <v>H2</v>
      </c>
      <c r="E47" s="52">
        <f t="shared" si="8"/>
        <v>50041</v>
      </c>
      <c r="F47" s="71">
        <f t="shared" si="5"/>
        <v>50221</v>
      </c>
      <c r="G47" s="65">
        <f t="shared" si="6"/>
        <v>8.75</v>
      </c>
      <c r="H47" s="70">
        <f t="shared" si="7"/>
        <v>181</v>
      </c>
    </row>
    <row r="48" spans="2:8" x14ac:dyDescent="0.15">
      <c r="B48" s="70">
        <v>19</v>
      </c>
      <c r="C48" s="70">
        <f t="shared" si="3"/>
        <v>10</v>
      </c>
      <c r="D48" s="8" t="str">
        <f t="shared" si="4"/>
        <v>H1</v>
      </c>
      <c r="E48" s="52">
        <f t="shared" si="8"/>
        <v>50222</v>
      </c>
      <c r="F48" s="71">
        <f t="shared" si="5"/>
        <v>50405</v>
      </c>
      <c r="G48" s="65">
        <f t="shared" si="6"/>
        <v>9.25</v>
      </c>
      <c r="H48" s="70">
        <f t="shared" si="7"/>
        <v>184</v>
      </c>
    </row>
    <row r="49" spans="2:8" x14ac:dyDescent="0.15">
      <c r="B49" s="70">
        <v>20</v>
      </c>
      <c r="C49" s="70">
        <f t="shared" si="3"/>
        <v>10</v>
      </c>
      <c r="D49" s="8" t="str">
        <f t="shared" si="4"/>
        <v>H2</v>
      </c>
      <c r="E49" s="52">
        <f t="shared" si="8"/>
        <v>50406</v>
      </c>
      <c r="F49" s="71">
        <f t="shared" si="5"/>
        <v>50586</v>
      </c>
      <c r="G49" s="65">
        <f t="shared" si="6"/>
        <v>9.75</v>
      </c>
      <c r="H49" s="70">
        <f t="shared" si="7"/>
        <v>181</v>
      </c>
    </row>
  </sheetData>
  <mergeCells count="3">
    <mergeCell ref="B2:I3"/>
    <mergeCell ref="B6:E6"/>
    <mergeCell ref="B28:I2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F6B69"/>
  </sheetPr>
  <dimension ref="B2:N63"/>
  <sheetViews>
    <sheetView showGridLines="0" zoomScale="115" zoomScaleNormal="100" workbookViewId="0">
      <pane xSplit="2" ySplit="9" topLeftCell="C10" activePane="bottomRight" state="frozen"/>
      <selection activeCell="H27" sqref="H27"/>
      <selection pane="topRight" activeCell="H27" sqref="H27"/>
      <selection pane="bottomLeft" activeCell="H27" sqref="H27"/>
      <selection pane="bottomRight" activeCell="N26" sqref="N26"/>
    </sheetView>
  </sheetViews>
  <sheetFormatPr baseColWidth="10" defaultColWidth="8.6640625" defaultRowHeight="14" x14ac:dyDescent="0.15"/>
  <cols>
    <col min="1" max="1" width="3" style="2" customWidth="1"/>
    <col min="2" max="2" width="52.6640625" style="2" bestFit="1" customWidth="1"/>
    <col min="3" max="3" width="14" style="2" customWidth="1"/>
    <col min="4" max="6" width="15" style="2" customWidth="1"/>
    <col min="7" max="7" width="16" style="2" customWidth="1"/>
    <col min="8" max="8" width="15" style="2" customWidth="1"/>
    <col min="9" max="9" width="16" style="2" customWidth="1"/>
    <col min="10" max="10" width="30" style="2" customWidth="1"/>
    <col min="11" max="14" width="15" style="2" customWidth="1"/>
    <col min="15" max="16384" width="8.6640625" style="2"/>
  </cols>
  <sheetData>
    <row r="2" spans="2:14" x14ac:dyDescent="0.15">
      <c r="B2" s="1" t="s">
        <v>250</v>
      </c>
      <c r="C2" s="1"/>
      <c r="D2" s="1"/>
      <c r="E2" s="1"/>
      <c r="F2" s="1"/>
      <c r="G2" s="1"/>
      <c r="H2" s="1"/>
      <c r="I2" s="1"/>
      <c r="J2" s="1"/>
    </row>
    <row r="3" spans="2:14" x14ac:dyDescent="0.15">
      <c r="B3" s="1"/>
      <c r="C3" s="1"/>
      <c r="D3" s="1"/>
      <c r="E3" s="1"/>
      <c r="F3" s="1"/>
      <c r="G3" s="1"/>
      <c r="H3" s="1"/>
      <c r="I3" s="1"/>
      <c r="J3" s="1"/>
    </row>
    <row r="4" spans="2:14" ht="16" x14ac:dyDescent="0.2">
      <c r="B4" s="3" t="s">
        <v>33</v>
      </c>
      <c r="C4" s="4" t="str">
        <f>Cover!$C$9</f>
        <v>Base</v>
      </c>
      <c r="D4" s="84" t="s">
        <v>683</v>
      </c>
    </row>
    <row r="5" spans="2:14" x14ac:dyDescent="0.15">
      <c r="B5" s="7" t="s">
        <v>251</v>
      </c>
      <c r="C5" s="7"/>
      <c r="D5" s="7"/>
      <c r="E5" s="7"/>
    </row>
    <row r="6" spans="2:14" x14ac:dyDescent="0.15">
      <c r="B6" s="3" t="s">
        <v>252</v>
      </c>
      <c r="D6" s="18">
        <f>Assumptions!$F$9*Assumptions!$F$36*(1+Assumptions!$F$66)</f>
        <v>194400000</v>
      </c>
      <c r="F6" s="28" t="s">
        <v>253</v>
      </c>
    </row>
    <row r="8" spans="2:14" x14ac:dyDescent="0.15">
      <c r="B8" s="7" t="s">
        <v>254</v>
      </c>
      <c r="C8" s="7"/>
      <c r="D8" s="7"/>
      <c r="E8" s="7"/>
      <c r="F8" s="7"/>
      <c r="G8" s="7"/>
      <c r="H8" s="7"/>
      <c r="I8" s="7"/>
      <c r="J8" s="7"/>
    </row>
    <row r="9" spans="2:14" ht="26" x14ac:dyDescent="0.15">
      <c r="B9" s="31" t="s">
        <v>238</v>
      </c>
      <c r="C9" s="31" t="s">
        <v>255</v>
      </c>
      <c r="D9" s="31" t="s">
        <v>256</v>
      </c>
      <c r="E9" s="31" t="s">
        <v>257</v>
      </c>
      <c r="F9" s="31" t="s">
        <v>258</v>
      </c>
      <c r="G9" s="31" t="s">
        <v>259</v>
      </c>
      <c r="H9" s="31" t="s">
        <v>260</v>
      </c>
      <c r="I9" s="31" t="s">
        <v>261</v>
      </c>
      <c r="J9" s="31" t="s">
        <v>262</v>
      </c>
      <c r="K9" s="31" t="s">
        <v>263</v>
      </c>
      <c r="L9" s="31" t="s">
        <v>264</v>
      </c>
      <c r="M9" s="31" t="s">
        <v>265</v>
      </c>
      <c r="N9" s="31" t="s">
        <v>266</v>
      </c>
    </row>
    <row r="10" spans="2:14" x14ac:dyDescent="0.15">
      <c r="B10" s="61">
        <f>Timing!B8</f>
        <v>1</v>
      </c>
      <c r="C10" s="52">
        <f>Timing!C8</f>
        <v>46388</v>
      </c>
      <c r="D10" s="20">
        <v>0.01</v>
      </c>
      <c r="E10" s="39">
        <f>D10*$D$6</f>
        <v>1944000</v>
      </c>
      <c r="F10" s="39">
        <f>E10*Assumptions!$F$46</f>
        <v>1166400</v>
      </c>
      <c r="G10" s="39">
        <f>E10-F10-K10</f>
        <v>486000</v>
      </c>
      <c r="H10" s="39">
        <f>IF(B10=1,0,J9)</f>
        <v>0</v>
      </c>
      <c r="I10" s="39">
        <f>H10*Assumptions!$F$42/12</f>
        <v>0</v>
      </c>
      <c r="J10" s="55">
        <f>H10+F10+I10</f>
        <v>1166400</v>
      </c>
      <c r="K10" s="39">
        <f>E10*Assumptions!$F$75</f>
        <v>291600</v>
      </c>
      <c r="L10" s="39">
        <f>IF(B10=1,0,N9)</f>
        <v>0</v>
      </c>
      <c r="M10" s="39">
        <f>L10*Assumptions!$F$76/12</f>
        <v>0</v>
      </c>
      <c r="N10" s="55">
        <f t="shared" ref="N10:N27" si="0">L10+K10+M10</f>
        <v>291600</v>
      </c>
    </row>
    <row r="11" spans="2:14" x14ac:dyDescent="0.15">
      <c r="B11" s="61">
        <f>Timing!B9</f>
        <v>2</v>
      </c>
      <c r="C11" s="52">
        <f>Timing!C9</f>
        <v>46419</v>
      </c>
      <c r="D11" s="20">
        <v>0.02</v>
      </c>
      <c r="E11" s="39">
        <f t="shared" ref="E10:E27" si="1">D11*$D$6</f>
        <v>3888000</v>
      </c>
      <c r="F11" s="39">
        <f>E11*Assumptions!$F$46</f>
        <v>2332800</v>
      </c>
      <c r="G11" s="39">
        <f t="shared" ref="G10:G27" si="2">E11-F11-K11</f>
        <v>972000</v>
      </c>
      <c r="H11" s="39">
        <f t="shared" ref="H11:H27" si="3">IF(B11=1,0,J10)</f>
        <v>1166400</v>
      </c>
      <c r="I11" s="39">
        <f>H11*Assumptions!$F$42/12</f>
        <v>9234</v>
      </c>
      <c r="J11" s="55">
        <f>H11+F11+I11</f>
        <v>3508434</v>
      </c>
      <c r="K11" s="39">
        <f>E11*Assumptions!$F$75</f>
        <v>583200</v>
      </c>
      <c r="L11" s="39">
        <f t="shared" ref="L11:L27" si="4">IF(B11=1,0,N10)</f>
        <v>291600</v>
      </c>
      <c r="M11" s="39">
        <f>L11*Assumptions!$F$76/12</f>
        <v>3402.0000000000005</v>
      </c>
      <c r="N11" s="55">
        <f t="shared" si="0"/>
        <v>878202</v>
      </c>
    </row>
    <row r="12" spans="2:14" x14ac:dyDescent="0.15">
      <c r="B12" s="61">
        <f>Timing!B10</f>
        <v>3</v>
      </c>
      <c r="C12" s="52">
        <f>Timing!C10</f>
        <v>46447</v>
      </c>
      <c r="D12" s="20">
        <v>0.03</v>
      </c>
      <c r="E12" s="39">
        <f t="shared" si="1"/>
        <v>5832000</v>
      </c>
      <c r="F12" s="39">
        <f>E12*Assumptions!$F$46</f>
        <v>3499200</v>
      </c>
      <c r="G12" s="39">
        <f t="shared" si="2"/>
        <v>1458000</v>
      </c>
      <c r="H12" s="39">
        <f t="shared" si="3"/>
        <v>3508434</v>
      </c>
      <c r="I12" s="39">
        <f>H12*Assumptions!$F$42/12</f>
        <v>27775.102499999997</v>
      </c>
      <c r="J12" s="55">
        <f t="shared" ref="J10:J27" si="5">H12+F12+I12</f>
        <v>7035409.1025</v>
      </c>
      <c r="K12" s="39">
        <f>E12*Assumptions!$F$75</f>
        <v>874800</v>
      </c>
      <c r="L12" s="39">
        <f t="shared" si="4"/>
        <v>878202</v>
      </c>
      <c r="M12" s="39">
        <f>L12*Assumptions!$F$76/12</f>
        <v>10245.69</v>
      </c>
      <c r="N12" s="55">
        <f t="shared" si="0"/>
        <v>1763247.69</v>
      </c>
    </row>
    <row r="13" spans="2:14" x14ac:dyDescent="0.15">
      <c r="B13" s="61">
        <f>Timing!B11</f>
        <v>4</v>
      </c>
      <c r="C13" s="52">
        <f>Timing!C11</f>
        <v>46478</v>
      </c>
      <c r="D13" s="20">
        <v>0.04</v>
      </c>
      <c r="E13" s="39">
        <f t="shared" si="1"/>
        <v>7776000</v>
      </c>
      <c r="F13" s="39">
        <f>E13*Assumptions!$F$46</f>
        <v>4665600</v>
      </c>
      <c r="G13" s="39">
        <f t="shared" si="2"/>
        <v>1944000</v>
      </c>
      <c r="H13" s="39">
        <f t="shared" si="3"/>
        <v>7035409.1025</v>
      </c>
      <c r="I13" s="39">
        <f>H13*Assumptions!$F$42/12</f>
        <v>55696.988728124998</v>
      </c>
      <c r="J13" s="55">
        <f t="shared" si="5"/>
        <v>11756706.091228124</v>
      </c>
      <c r="K13" s="39">
        <f>E13*Assumptions!$F$75</f>
        <v>1166400</v>
      </c>
      <c r="L13" s="39">
        <f t="shared" si="4"/>
        <v>1763247.69</v>
      </c>
      <c r="M13" s="39">
        <f>L13*Assumptions!$F$76/12</f>
        <v>20571.223050000001</v>
      </c>
      <c r="N13" s="55">
        <f t="shared" si="0"/>
        <v>2950218.9130500001</v>
      </c>
    </row>
    <row r="14" spans="2:14" x14ac:dyDescent="0.15">
      <c r="B14" s="61">
        <f>Timing!B12</f>
        <v>5</v>
      </c>
      <c r="C14" s="52">
        <f>Timing!C12</f>
        <v>46508</v>
      </c>
      <c r="D14" s="20">
        <v>0.06</v>
      </c>
      <c r="E14" s="39">
        <f t="shared" si="1"/>
        <v>11664000</v>
      </c>
      <c r="F14" s="39">
        <f>E14*Assumptions!$F$46</f>
        <v>6998400</v>
      </c>
      <c r="G14" s="39">
        <f t="shared" si="2"/>
        <v>2916000</v>
      </c>
      <c r="H14" s="39">
        <f t="shared" si="3"/>
        <v>11756706.091228124</v>
      </c>
      <c r="I14" s="39">
        <f>H14*Assumptions!$F$42/12</f>
        <v>93073.923222222656</v>
      </c>
      <c r="J14" s="55">
        <f t="shared" si="5"/>
        <v>18848180.014450345</v>
      </c>
      <c r="K14" s="39">
        <f>E14*Assumptions!$F$75</f>
        <v>1749600</v>
      </c>
      <c r="L14" s="39">
        <f t="shared" si="4"/>
        <v>2950218.9130500001</v>
      </c>
      <c r="M14" s="39">
        <f>L14*Assumptions!$F$76/12</f>
        <v>34419.220652250006</v>
      </c>
      <c r="N14" s="55">
        <f t="shared" si="0"/>
        <v>4734238.1337022493</v>
      </c>
    </row>
    <row r="15" spans="2:14" x14ac:dyDescent="0.15">
      <c r="B15" s="61">
        <f>Timing!B13</f>
        <v>6</v>
      </c>
      <c r="C15" s="52">
        <f>Timing!C13</f>
        <v>46539</v>
      </c>
      <c r="D15" s="20">
        <v>7.0000000000000007E-2</v>
      </c>
      <c r="E15" s="39">
        <f t="shared" si="1"/>
        <v>13608000.000000002</v>
      </c>
      <c r="F15" s="39">
        <f>E15*Assumptions!$F$46</f>
        <v>8164800.0000000009</v>
      </c>
      <c r="G15" s="39">
        <f t="shared" si="2"/>
        <v>3402000.0000000009</v>
      </c>
      <c r="H15" s="39">
        <f t="shared" si="3"/>
        <v>18848180.014450345</v>
      </c>
      <c r="I15" s="39">
        <f>H15*Assumptions!$F$42/12</f>
        <v>149214.7584477319</v>
      </c>
      <c r="J15" s="55">
        <f t="shared" si="5"/>
        <v>27162194.772898078</v>
      </c>
      <c r="K15" s="39">
        <f>E15*Assumptions!$F$75</f>
        <v>2041200.0000000002</v>
      </c>
      <c r="L15" s="39">
        <f t="shared" si="4"/>
        <v>4734238.1337022493</v>
      </c>
      <c r="M15" s="39">
        <f>L15*Assumptions!$F$76/12</f>
        <v>55232.77822652625</v>
      </c>
      <c r="N15" s="55">
        <f t="shared" si="0"/>
        <v>6830670.9119287757</v>
      </c>
    </row>
    <row r="16" spans="2:14" x14ac:dyDescent="0.15">
      <c r="B16" s="61">
        <f>Timing!B14</f>
        <v>7</v>
      </c>
      <c r="C16" s="52">
        <f>Timing!C14</f>
        <v>46569</v>
      </c>
      <c r="D16" s="20">
        <v>0.08</v>
      </c>
      <c r="E16" s="39">
        <f t="shared" si="1"/>
        <v>15552000</v>
      </c>
      <c r="F16" s="39">
        <f>E16*Assumptions!$F$46</f>
        <v>9331200</v>
      </c>
      <c r="G16" s="39">
        <f t="shared" si="2"/>
        <v>3888000</v>
      </c>
      <c r="H16" s="39">
        <f t="shared" si="3"/>
        <v>27162194.772898078</v>
      </c>
      <c r="I16" s="39">
        <f>H16*Assumptions!$F$42/12</f>
        <v>215034.04195210978</v>
      </c>
      <c r="J16" s="55">
        <f t="shared" si="5"/>
        <v>36708428.814850189</v>
      </c>
      <c r="K16" s="39">
        <f>E16*Assumptions!$F$75</f>
        <v>2332800</v>
      </c>
      <c r="L16" s="39">
        <f t="shared" si="4"/>
        <v>6830670.9119287757</v>
      </c>
      <c r="M16" s="39">
        <f>L16*Assumptions!$F$76/12</f>
        <v>79691.160639169058</v>
      </c>
      <c r="N16" s="55">
        <f t="shared" si="0"/>
        <v>9243162.0725679453</v>
      </c>
    </row>
    <row r="17" spans="2:14" x14ac:dyDescent="0.15">
      <c r="B17" s="61">
        <f>Timing!B15</f>
        <v>8</v>
      </c>
      <c r="C17" s="52">
        <f>Timing!C15</f>
        <v>46600</v>
      </c>
      <c r="D17" s="20">
        <v>0.09</v>
      </c>
      <c r="E17" s="39">
        <f t="shared" si="1"/>
        <v>17496000</v>
      </c>
      <c r="F17" s="39">
        <f>E17*Assumptions!$F$46</f>
        <v>10497600</v>
      </c>
      <c r="G17" s="39">
        <f t="shared" si="2"/>
        <v>4374000</v>
      </c>
      <c r="H17" s="39">
        <f t="shared" si="3"/>
        <v>36708428.814850189</v>
      </c>
      <c r="I17" s="39">
        <f>H17*Assumptions!$F$42/12</f>
        <v>290608.39478423068</v>
      </c>
      <c r="J17" s="55">
        <f t="shared" si="5"/>
        <v>47496637.209634416</v>
      </c>
      <c r="K17" s="39">
        <f>E17*Assumptions!$F$75</f>
        <v>2624400</v>
      </c>
      <c r="L17" s="39">
        <f t="shared" si="4"/>
        <v>9243162.0725679453</v>
      </c>
      <c r="M17" s="39">
        <f>L17*Assumptions!$F$76/12</f>
        <v>107836.89084662603</v>
      </c>
      <c r="N17" s="55">
        <f t="shared" si="0"/>
        <v>11975398.963414572</v>
      </c>
    </row>
    <row r="18" spans="2:14" x14ac:dyDescent="0.15">
      <c r="B18" s="61">
        <f>Timing!B16</f>
        <v>9</v>
      </c>
      <c r="C18" s="52">
        <f>Timing!C16</f>
        <v>46631</v>
      </c>
      <c r="D18" s="20">
        <v>0.1</v>
      </c>
      <c r="E18" s="39">
        <f t="shared" si="1"/>
        <v>19440000</v>
      </c>
      <c r="F18" s="39">
        <f>E18*Assumptions!$F$46</f>
        <v>11664000</v>
      </c>
      <c r="G18" s="39">
        <f t="shared" si="2"/>
        <v>4860000</v>
      </c>
      <c r="H18" s="39">
        <f t="shared" si="3"/>
        <v>47496637.209634416</v>
      </c>
      <c r="I18" s="39">
        <f>H18*Assumptions!$F$42/12</f>
        <v>376015.04457627243</v>
      </c>
      <c r="J18" s="55">
        <f t="shared" si="5"/>
        <v>59536652.254210688</v>
      </c>
      <c r="K18" s="39">
        <f>E18*Assumptions!$F$75</f>
        <v>2916000</v>
      </c>
      <c r="L18" s="39">
        <f t="shared" si="4"/>
        <v>11975398.963414572</v>
      </c>
      <c r="M18" s="39">
        <f>L18*Assumptions!$F$76/12</f>
        <v>139712.98790650335</v>
      </c>
      <c r="N18" s="55">
        <f t="shared" si="0"/>
        <v>15031111.951321075</v>
      </c>
    </row>
    <row r="19" spans="2:14" x14ac:dyDescent="0.15">
      <c r="B19" s="61">
        <f>Timing!B17</f>
        <v>10</v>
      </c>
      <c r="C19" s="52">
        <f>Timing!C17</f>
        <v>46661</v>
      </c>
      <c r="D19" s="20">
        <v>0.1</v>
      </c>
      <c r="E19" s="39">
        <f t="shared" si="1"/>
        <v>19440000</v>
      </c>
      <c r="F19" s="39">
        <f>E19*Assumptions!$F$46</f>
        <v>11664000</v>
      </c>
      <c r="G19" s="39">
        <f t="shared" si="2"/>
        <v>4860000</v>
      </c>
      <c r="H19" s="39">
        <f t="shared" si="3"/>
        <v>59536652.254210688</v>
      </c>
      <c r="I19" s="39">
        <f>H19*Assumptions!$F$42/12</f>
        <v>471331.83034583461</v>
      </c>
      <c r="J19" s="55">
        <f t="shared" si="5"/>
        <v>71671984.08455652</v>
      </c>
      <c r="K19" s="39">
        <f>E19*Assumptions!$F$75</f>
        <v>2916000</v>
      </c>
      <c r="L19" s="39">
        <f t="shared" si="4"/>
        <v>15031111.951321075</v>
      </c>
      <c r="M19" s="39">
        <f>L19*Assumptions!$F$76/12</f>
        <v>175362.97276541256</v>
      </c>
      <c r="N19" s="55">
        <f t="shared" si="0"/>
        <v>18122474.924086485</v>
      </c>
    </row>
    <row r="20" spans="2:14" x14ac:dyDescent="0.15">
      <c r="B20" s="61">
        <f>Timing!B18</f>
        <v>11</v>
      </c>
      <c r="C20" s="52">
        <f>Timing!C18</f>
        <v>46692</v>
      </c>
      <c r="D20" s="20">
        <v>0.09</v>
      </c>
      <c r="E20" s="39">
        <f t="shared" si="1"/>
        <v>17496000</v>
      </c>
      <c r="F20" s="39">
        <f>E20*Assumptions!$F$46</f>
        <v>10497600</v>
      </c>
      <c r="G20" s="39">
        <f t="shared" si="2"/>
        <v>4374000</v>
      </c>
      <c r="H20" s="39">
        <f t="shared" si="3"/>
        <v>71671984.08455652</v>
      </c>
      <c r="I20" s="39">
        <f>H20*Assumptions!$F$42/12</f>
        <v>567403.20733607246</v>
      </c>
      <c r="J20" s="55">
        <f t="shared" si="5"/>
        <v>82736987.291892588</v>
      </c>
      <c r="K20" s="39">
        <f>E20*Assumptions!$F$75</f>
        <v>2624400</v>
      </c>
      <c r="L20" s="39">
        <f t="shared" si="4"/>
        <v>18122474.924086485</v>
      </c>
      <c r="M20" s="39">
        <f>L20*Assumptions!$F$76/12</f>
        <v>211428.87411434235</v>
      </c>
      <c r="N20" s="55">
        <f t="shared" si="0"/>
        <v>20958303.798200827</v>
      </c>
    </row>
    <row r="21" spans="2:14" x14ac:dyDescent="0.15">
      <c r="B21" s="61">
        <f>Timing!B19</f>
        <v>12</v>
      </c>
      <c r="C21" s="52">
        <f>Timing!C19</f>
        <v>46722</v>
      </c>
      <c r="D21" s="20">
        <v>0.08</v>
      </c>
      <c r="E21" s="39">
        <f t="shared" si="1"/>
        <v>15552000</v>
      </c>
      <c r="F21" s="39">
        <f>E21*Assumptions!$F$46</f>
        <v>9331200</v>
      </c>
      <c r="G21" s="39">
        <f t="shared" si="2"/>
        <v>3888000</v>
      </c>
      <c r="H21" s="39">
        <f t="shared" si="3"/>
        <v>82736987.291892588</v>
      </c>
      <c r="I21" s="39">
        <f>H21*Assumptions!$F$42/12</f>
        <v>655001.14939414966</v>
      </c>
      <c r="J21" s="55">
        <f t="shared" si="5"/>
        <v>92723188.441286743</v>
      </c>
      <c r="K21" s="39">
        <f>E21*Assumptions!$F$75</f>
        <v>2332800</v>
      </c>
      <c r="L21" s="39">
        <f t="shared" si="4"/>
        <v>20958303.798200827</v>
      </c>
      <c r="M21" s="39">
        <f>L21*Assumptions!$F$76/12</f>
        <v>244513.544312343</v>
      </c>
      <c r="N21" s="55">
        <f t="shared" si="0"/>
        <v>23535617.34251317</v>
      </c>
    </row>
    <row r="22" spans="2:14" x14ac:dyDescent="0.15">
      <c r="B22" s="61">
        <f>Timing!B20</f>
        <v>13</v>
      </c>
      <c r="C22" s="52">
        <f>Timing!C20</f>
        <v>46753</v>
      </c>
      <c r="D22" s="20">
        <v>7.0000000000000007E-2</v>
      </c>
      <c r="E22" s="39">
        <f t="shared" si="1"/>
        <v>13608000.000000002</v>
      </c>
      <c r="F22" s="39">
        <f>E22*Assumptions!$F$46</f>
        <v>8164800.0000000009</v>
      </c>
      <c r="G22" s="39">
        <f t="shared" si="2"/>
        <v>3402000.0000000009</v>
      </c>
      <c r="H22" s="39">
        <f t="shared" si="3"/>
        <v>92723188.441286743</v>
      </c>
      <c r="I22" s="39">
        <f>H22*Assumptions!$F$42/12</f>
        <v>734058.57516018674</v>
      </c>
      <c r="J22" s="55">
        <f t="shared" si="5"/>
        <v>101622047.01644693</v>
      </c>
      <c r="K22" s="39">
        <f>E22*Assumptions!$F$75</f>
        <v>2041200.0000000002</v>
      </c>
      <c r="L22" s="39">
        <f t="shared" si="4"/>
        <v>23535617.34251317</v>
      </c>
      <c r="M22" s="39">
        <f>L22*Assumptions!$F$76/12</f>
        <v>274582.20232932031</v>
      </c>
      <c r="N22" s="55">
        <f t="shared" si="0"/>
        <v>25851399.544842489</v>
      </c>
    </row>
    <row r="23" spans="2:14" x14ac:dyDescent="0.15">
      <c r="B23" s="61">
        <f>Timing!B21</f>
        <v>14</v>
      </c>
      <c r="C23" s="52">
        <f>Timing!C21</f>
        <v>46784</v>
      </c>
      <c r="D23" s="20">
        <v>0.06</v>
      </c>
      <c r="E23" s="39">
        <f t="shared" si="1"/>
        <v>11664000</v>
      </c>
      <c r="F23" s="39">
        <f>E23*Assumptions!$F$46</f>
        <v>6998400</v>
      </c>
      <c r="G23" s="39">
        <f t="shared" si="2"/>
        <v>2916000</v>
      </c>
      <c r="H23" s="39">
        <f t="shared" si="3"/>
        <v>101622047.01644693</v>
      </c>
      <c r="I23" s="39">
        <f>H23*Assumptions!$F$42/12</f>
        <v>804507.87221353827</v>
      </c>
      <c r="J23" s="55">
        <f t="shared" si="5"/>
        <v>109424954.88866048</v>
      </c>
      <c r="K23" s="39">
        <f>E23*Assumptions!$F$75</f>
        <v>1749600</v>
      </c>
      <c r="L23" s="39">
        <f t="shared" si="4"/>
        <v>25851399.544842489</v>
      </c>
      <c r="M23" s="39">
        <f>L23*Assumptions!$F$76/12</f>
        <v>301599.66135649575</v>
      </c>
      <c r="N23" s="55">
        <f t="shared" si="0"/>
        <v>27902599.206198987</v>
      </c>
    </row>
    <row r="24" spans="2:14" x14ac:dyDescent="0.15">
      <c r="B24" s="61">
        <f>Timing!B22</f>
        <v>15</v>
      </c>
      <c r="C24" s="52">
        <f>Timing!C22</f>
        <v>46813</v>
      </c>
      <c r="D24" s="20">
        <v>0.04</v>
      </c>
      <c r="E24" s="39">
        <f t="shared" si="1"/>
        <v>7776000</v>
      </c>
      <c r="F24" s="39">
        <f>E24*Assumptions!$F$46</f>
        <v>4665600</v>
      </c>
      <c r="G24" s="39">
        <f t="shared" si="2"/>
        <v>1944000</v>
      </c>
      <c r="H24" s="39">
        <f t="shared" si="3"/>
        <v>109424954.88866048</v>
      </c>
      <c r="I24" s="39">
        <f>H24*Assumptions!$F$42/12</f>
        <v>866280.89286856214</v>
      </c>
      <c r="J24" s="55">
        <f t="shared" si="5"/>
        <v>114956835.78152904</v>
      </c>
      <c r="K24" s="39">
        <f>E24*Assumptions!$F$75</f>
        <v>1166400</v>
      </c>
      <c r="L24" s="39">
        <f t="shared" si="4"/>
        <v>27902599.206198987</v>
      </c>
      <c r="M24" s="39">
        <f>L24*Assumptions!$F$76/12</f>
        <v>325530.32407232153</v>
      </c>
      <c r="N24" s="55">
        <f t="shared" si="0"/>
        <v>29394529.530271307</v>
      </c>
    </row>
    <row r="25" spans="2:14" x14ac:dyDescent="0.15">
      <c r="B25" s="61">
        <f>Timing!B23</f>
        <v>16</v>
      </c>
      <c r="C25" s="52">
        <f>Timing!C23</f>
        <v>46844</v>
      </c>
      <c r="D25" s="20">
        <v>0.03</v>
      </c>
      <c r="E25" s="39">
        <f t="shared" si="1"/>
        <v>5832000</v>
      </c>
      <c r="F25" s="39">
        <f>E25*Assumptions!$F$46</f>
        <v>3499200</v>
      </c>
      <c r="G25" s="39">
        <f t="shared" si="2"/>
        <v>1458000</v>
      </c>
      <c r="H25" s="39">
        <f t="shared" si="3"/>
        <v>114956835.78152904</v>
      </c>
      <c r="I25" s="39">
        <f>H25*Assumptions!$F$42/12</f>
        <v>910074.94993710483</v>
      </c>
      <c r="J25" s="55">
        <f t="shared" si="5"/>
        <v>119366110.73146614</v>
      </c>
      <c r="K25" s="39">
        <f>E25*Assumptions!$F$75</f>
        <v>874800</v>
      </c>
      <c r="L25" s="39">
        <f t="shared" si="4"/>
        <v>29394529.530271307</v>
      </c>
      <c r="M25" s="39">
        <f>L25*Assumptions!$F$76/12</f>
        <v>342936.17785316525</v>
      </c>
      <c r="N25" s="55">
        <f t="shared" si="0"/>
        <v>30612265.708124474</v>
      </c>
    </row>
    <row r="26" spans="2:14" x14ac:dyDescent="0.15">
      <c r="B26" s="61">
        <f>Timing!B24</f>
        <v>17</v>
      </c>
      <c r="C26" s="52">
        <f>Timing!C24</f>
        <v>46874</v>
      </c>
      <c r="D26" s="20">
        <v>0.02</v>
      </c>
      <c r="E26" s="39">
        <f t="shared" si="1"/>
        <v>3888000</v>
      </c>
      <c r="F26" s="39">
        <f>E26*Assumptions!$F$46</f>
        <v>2332800</v>
      </c>
      <c r="G26" s="39">
        <f t="shared" si="2"/>
        <v>972000</v>
      </c>
      <c r="H26" s="39">
        <f t="shared" si="3"/>
        <v>119366110.73146614</v>
      </c>
      <c r="I26" s="39">
        <f>H26*Assumptions!$F$42/12</f>
        <v>944981.70995744038</v>
      </c>
      <c r="J26" s="55">
        <f t="shared" si="5"/>
        <v>122643892.44142358</v>
      </c>
      <c r="K26" s="39">
        <f>E26*Assumptions!$F$75</f>
        <v>583200</v>
      </c>
      <c r="L26" s="39">
        <f t="shared" si="4"/>
        <v>30612265.708124474</v>
      </c>
      <c r="M26" s="39">
        <f>L26*Assumptions!$F$76/12</f>
        <v>357143.09992811893</v>
      </c>
      <c r="N26" s="55">
        <f t="shared" si="0"/>
        <v>31552608.808052592</v>
      </c>
    </row>
    <row r="27" spans="2:14" x14ac:dyDescent="0.15">
      <c r="B27" s="61">
        <f>Timing!B25</f>
        <v>18</v>
      </c>
      <c r="C27" s="52">
        <f>Timing!C25</f>
        <v>46905</v>
      </c>
      <c r="D27" s="20">
        <v>0.01</v>
      </c>
      <c r="E27" s="39">
        <f t="shared" si="1"/>
        <v>1944000</v>
      </c>
      <c r="F27" s="39">
        <f>E27*Assumptions!$F$46</f>
        <v>1166400</v>
      </c>
      <c r="G27" s="39">
        <f t="shared" si="2"/>
        <v>486000</v>
      </c>
      <c r="H27" s="39">
        <f>IF(B27=1,0,J26)</f>
        <v>122643892.44142358</v>
      </c>
      <c r="I27" s="39">
        <f>H27*Assumptions!$F$42/12</f>
        <v>970930.81516127009</v>
      </c>
      <c r="J27" s="55">
        <f t="shared" si="5"/>
        <v>124781223.25658485</v>
      </c>
      <c r="K27" s="39">
        <f>E27*Assumptions!$F$75</f>
        <v>291600</v>
      </c>
      <c r="L27" s="39">
        <f t="shared" si="4"/>
        <v>31552608.808052592</v>
      </c>
      <c r="M27" s="39">
        <f>L27*Assumptions!$F$76/12</f>
        <v>368113.76942728023</v>
      </c>
      <c r="N27" s="55">
        <f t="shared" si="0"/>
        <v>32212322.577479873</v>
      </c>
    </row>
    <row r="29" spans="2:14" x14ac:dyDescent="0.15">
      <c r="B29" s="3" t="s">
        <v>267</v>
      </c>
      <c r="D29" s="21">
        <f>SUM(D10:D27)</f>
        <v>1</v>
      </c>
      <c r="E29" s="18">
        <f>SUM(E10:E27)</f>
        <v>194400000</v>
      </c>
      <c r="F29" s="18">
        <f>SUM(F10:F27)</f>
        <v>116640000</v>
      </c>
      <c r="G29" s="18">
        <f>SUM(G10:G27)</f>
        <v>48600000</v>
      </c>
      <c r="I29" s="18">
        <f>SUM(I10:I27)</f>
        <v>8141223.2565848511</v>
      </c>
      <c r="K29" s="18">
        <f>SUM(K10:K27)</f>
        <v>29160000</v>
      </c>
      <c r="M29" s="18">
        <f>SUM(M10:M27)</f>
        <v>3052322.5774798747</v>
      </c>
    </row>
    <row r="31" spans="2:14" x14ac:dyDescent="0.15">
      <c r="B31" s="7" t="s">
        <v>268</v>
      </c>
      <c r="C31" s="7"/>
      <c r="D31" s="7"/>
      <c r="E31" s="7"/>
    </row>
    <row r="32" spans="2:14" x14ac:dyDescent="0.15">
      <c r="B32" s="67" t="s">
        <v>269</v>
      </c>
    </row>
    <row r="33" spans="2:4" x14ac:dyDescent="0.15">
      <c r="B33" s="2" t="s">
        <v>270</v>
      </c>
      <c r="D33" s="39">
        <f>E29</f>
        <v>194400000</v>
      </c>
    </row>
    <row r="34" spans="2:4" x14ac:dyDescent="0.15">
      <c r="B34" s="2" t="s">
        <v>271</v>
      </c>
      <c r="D34" s="39">
        <f>I29</f>
        <v>8141223.2565848511</v>
      </c>
    </row>
    <row r="35" spans="2:4" x14ac:dyDescent="0.15">
      <c r="B35" s="2" t="s">
        <v>272</v>
      </c>
      <c r="D35" s="39">
        <f>D45</f>
        <v>1749600</v>
      </c>
    </row>
    <row r="36" spans="2:4" x14ac:dyDescent="0.15">
      <c r="B36" s="2" t="s">
        <v>273</v>
      </c>
      <c r="D36" s="46">
        <f>Reserves!$C$9</f>
        <v>18687487.902976882</v>
      </c>
    </row>
    <row r="37" spans="2:4" x14ac:dyDescent="0.15">
      <c r="B37" s="3" t="s">
        <v>274</v>
      </c>
      <c r="D37" s="18">
        <f>SUM(D33:D36)</f>
        <v>222978311.15956172</v>
      </c>
    </row>
    <row r="39" spans="2:4" x14ac:dyDescent="0.15">
      <c r="B39" s="67" t="s">
        <v>275</v>
      </c>
    </row>
    <row r="40" spans="2:4" x14ac:dyDescent="0.15">
      <c r="B40" s="2" t="s">
        <v>276</v>
      </c>
      <c r="D40" s="39">
        <f>D46</f>
        <v>126530823.25658485</v>
      </c>
    </row>
    <row r="41" spans="2:4" x14ac:dyDescent="0.15">
      <c r="B41" s="2" t="s">
        <v>277</v>
      </c>
      <c r="D41" s="39">
        <f>G29</f>
        <v>48600000</v>
      </c>
    </row>
    <row r="42" spans="2:4" x14ac:dyDescent="0.15">
      <c r="B42" s="2" t="s">
        <v>278</v>
      </c>
      <c r="D42" s="46">
        <f>Reserves!$C$9</f>
        <v>18687487.902976882</v>
      </c>
    </row>
    <row r="43" spans="2:4" x14ac:dyDescent="0.15">
      <c r="B43" s="3" t="s">
        <v>279</v>
      </c>
      <c r="D43" s="18">
        <f>SUM(D40:D42)</f>
        <v>193818311.15956172</v>
      </c>
    </row>
    <row r="45" spans="2:4" x14ac:dyDescent="0.15">
      <c r="B45" s="2" t="s">
        <v>280</v>
      </c>
      <c r="D45" s="39">
        <f>F29*Assumptions!$F$43</f>
        <v>1749600</v>
      </c>
    </row>
    <row r="46" spans="2:4" x14ac:dyDescent="0.15">
      <c r="B46" s="2" t="s">
        <v>281</v>
      </c>
      <c r="D46" s="18">
        <f>F29+I29+D45</f>
        <v>126530823.25658485</v>
      </c>
    </row>
    <row r="47" spans="2:4" x14ac:dyDescent="0.15">
      <c r="B47" s="2" t="s">
        <v>282</v>
      </c>
      <c r="D47" s="21">
        <f>D46/(D46+G29)</f>
        <v>0.7224931677001486</v>
      </c>
    </row>
    <row r="49" spans="2:4" x14ac:dyDescent="0.15">
      <c r="B49" s="59" t="s">
        <v>283</v>
      </c>
      <c r="D49" s="68">
        <f>D43-D37+D53</f>
        <v>0</v>
      </c>
    </row>
    <row r="52" spans="2:4" x14ac:dyDescent="0.15">
      <c r="B52" s="8" t="s">
        <v>284</v>
      </c>
      <c r="D52" s="39">
        <f>M29</f>
        <v>3052322.5774798747</v>
      </c>
    </row>
    <row r="53" spans="2:4" x14ac:dyDescent="0.15">
      <c r="B53" s="8" t="s">
        <v>285</v>
      </c>
      <c r="D53" s="39">
        <f>E29*Assumptions!$F$67</f>
        <v>29160000</v>
      </c>
    </row>
    <row r="54" spans="2:4" x14ac:dyDescent="0.15">
      <c r="B54" s="40" t="s">
        <v>286</v>
      </c>
      <c r="D54" s="18">
        <f>D37+D52+D53</f>
        <v>255190633.73704159</v>
      </c>
    </row>
    <row r="56" spans="2:4" x14ac:dyDescent="0.15">
      <c r="B56" s="8" t="s">
        <v>287</v>
      </c>
      <c r="D56" s="39">
        <f>K29+M29</f>
        <v>32212322.577479877</v>
      </c>
    </row>
    <row r="57" spans="2:4" x14ac:dyDescent="0.15">
      <c r="B57" s="8" t="s">
        <v>288</v>
      </c>
      <c r="D57" s="39">
        <f>D53</f>
        <v>29160000</v>
      </c>
    </row>
    <row r="58" spans="2:4" x14ac:dyDescent="0.15">
      <c r="B58" s="40" t="s">
        <v>289</v>
      </c>
      <c r="D58" s="18">
        <f>D43+D56+D57</f>
        <v>255190633.73704159</v>
      </c>
    </row>
    <row r="60" spans="2:4" x14ac:dyDescent="0.15">
      <c r="B60" s="57" t="s">
        <v>290</v>
      </c>
      <c r="D60" s="68">
        <f>D58-D54</f>
        <v>0</v>
      </c>
    </row>
    <row r="62" spans="2:4" x14ac:dyDescent="0.15">
      <c r="B62" s="8" t="s">
        <v>291</v>
      </c>
      <c r="D62" s="69">
        <f>D46/(D46+G29)</f>
        <v>0.7224931677001486</v>
      </c>
    </row>
    <row r="63" spans="2:4" x14ac:dyDescent="0.15">
      <c r="B63" s="40" t="s">
        <v>292</v>
      </c>
      <c r="D63" s="21">
        <f>(D46+D56)/(D46+D56+G29)</f>
        <v>0.76560594851351271</v>
      </c>
    </row>
  </sheetData>
  <mergeCells count="4">
    <mergeCell ref="B2:J3"/>
    <mergeCell ref="B5:E5"/>
    <mergeCell ref="B8:J8"/>
    <mergeCell ref="B31:E31"/>
  </mergeCells>
  <hyperlinks>
    <hyperlink ref="D4" location="Cover!A1" display="&lt;&lt;&lt;&lt;" xr:uid="{B92C0462-45AE-6F44-AAFF-60450E0F1111}"/>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F6B69"/>
  </sheetPr>
  <dimension ref="B2:V50"/>
  <sheetViews>
    <sheetView showGridLines="0" zoomScaleNormal="100" workbookViewId="0">
      <pane xSplit="2" ySplit="6" topLeftCell="C7" activePane="bottomRight" state="frozen"/>
      <selection activeCell="H27" sqref="H27"/>
      <selection pane="topRight" activeCell="H27" sqref="H27"/>
      <selection pane="bottomLeft" activeCell="H27" sqref="H27"/>
      <selection pane="bottomRight" activeCell="C27" sqref="C27"/>
    </sheetView>
  </sheetViews>
  <sheetFormatPr baseColWidth="10" defaultColWidth="8.6640625" defaultRowHeight="14" x14ac:dyDescent="0.15"/>
  <cols>
    <col min="1" max="1" width="2" style="2" customWidth="1"/>
    <col min="2" max="2" width="40" style="2" customWidth="1"/>
    <col min="3" max="22" width="13" style="2" customWidth="1"/>
    <col min="23" max="16384" width="8.6640625" style="2"/>
  </cols>
  <sheetData>
    <row r="2" spans="2:22" x14ac:dyDescent="0.15">
      <c r="B2" s="53" t="s">
        <v>293</v>
      </c>
      <c r="C2" s="53"/>
      <c r="D2" s="53"/>
      <c r="E2" s="53"/>
      <c r="F2" s="53"/>
      <c r="G2" s="53"/>
      <c r="H2" s="53"/>
      <c r="I2" s="53"/>
      <c r="J2" s="53"/>
      <c r="K2" s="53"/>
      <c r="L2" s="53"/>
      <c r="M2" s="53"/>
      <c r="N2" s="53"/>
      <c r="O2" s="53"/>
      <c r="P2" s="53"/>
      <c r="Q2" s="53"/>
      <c r="R2" s="53"/>
      <c r="S2" s="53"/>
      <c r="T2" s="53"/>
      <c r="U2" s="53"/>
      <c r="V2" s="53"/>
    </row>
    <row r="3" spans="2:22" x14ac:dyDescent="0.15">
      <c r="B3" s="53"/>
      <c r="C3" s="53"/>
      <c r="D3" s="53"/>
      <c r="E3" s="53"/>
      <c r="F3" s="53"/>
      <c r="G3" s="53"/>
      <c r="H3" s="53"/>
      <c r="I3" s="53"/>
      <c r="J3" s="53"/>
      <c r="K3" s="53"/>
      <c r="L3" s="53"/>
      <c r="M3" s="53"/>
      <c r="N3" s="53"/>
      <c r="O3" s="53"/>
      <c r="P3" s="53"/>
      <c r="Q3" s="53"/>
      <c r="R3" s="53"/>
      <c r="S3" s="53"/>
      <c r="T3" s="53"/>
      <c r="U3" s="53"/>
      <c r="V3" s="53"/>
    </row>
    <row r="4" spans="2:22" x14ac:dyDescent="0.15">
      <c r="B4" s="28" t="s">
        <v>294</v>
      </c>
    </row>
    <row r="5" spans="2:22" ht="16" x14ac:dyDescent="0.2">
      <c r="B5" s="3" t="s">
        <v>33</v>
      </c>
      <c r="C5" s="4" t="str">
        <f>Cover!$C$9</f>
        <v>Base</v>
      </c>
      <c r="D5" s="84" t="s">
        <v>683</v>
      </c>
    </row>
    <row r="6" spans="2:22" x14ac:dyDescent="0.15">
      <c r="B6" s="54" t="s">
        <v>295</v>
      </c>
      <c r="C6" s="54"/>
      <c r="D6" s="54"/>
      <c r="E6" s="54"/>
      <c r="F6" s="54"/>
      <c r="G6" s="54"/>
      <c r="H6" s="54"/>
      <c r="I6" s="54"/>
      <c r="J6" s="54"/>
      <c r="K6" s="54"/>
      <c r="L6" s="54"/>
      <c r="M6" s="54"/>
      <c r="N6" s="54"/>
      <c r="O6" s="54"/>
      <c r="P6" s="54"/>
      <c r="Q6" s="54"/>
      <c r="R6" s="54"/>
      <c r="S6" s="54"/>
      <c r="T6" s="54"/>
      <c r="U6" s="54"/>
      <c r="V6" s="54"/>
    </row>
    <row r="7" spans="2:22" x14ac:dyDescent="0.15">
      <c r="B7" s="41" t="s">
        <v>243</v>
      </c>
      <c r="C7" s="58">
        <v>1</v>
      </c>
      <c r="D7" s="58">
        <v>2</v>
      </c>
      <c r="E7" s="58">
        <v>3</v>
      </c>
      <c r="F7" s="58">
        <v>4</v>
      </c>
      <c r="G7" s="58">
        <v>5</v>
      </c>
      <c r="H7" s="58">
        <v>6</v>
      </c>
      <c r="I7" s="58">
        <v>7</v>
      </c>
      <c r="J7" s="58">
        <v>8</v>
      </c>
      <c r="K7" s="58">
        <v>9</v>
      </c>
      <c r="L7" s="58">
        <v>10</v>
      </c>
      <c r="M7" s="58">
        <v>11</v>
      </c>
      <c r="N7" s="58">
        <v>12</v>
      </c>
      <c r="O7" s="58">
        <v>13</v>
      </c>
      <c r="P7" s="58">
        <v>14</v>
      </c>
      <c r="Q7" s="58">
        <v>15</v>
      </c>
      <c r="R7" s="58">
        <v>16</v>
      </c>
      <c r="S7" s="58">
        <v>17</v>
      </c>
      <c r="T7" s="58">
        <v>18</v>
      </c>
      <c r="U7" s="58">
        <v>19</v>
      </c>
      <c r="V7" s="58">
        <v>20</v>
      </c>
    </row>
    <row r="8" spans="2:22" x14ac:dyDescent="0.15">
      <c r="B8" s="8" t="s">
        <v>296</v>
      </c>
      <c r="C8" s="61">
        <f>Timing!C30</f>
        <v>1</v>
      </c>
      <c r="D8" s="61">
        <f>Timing!C31</f>
        <v>1</v>
      </c>
      <c r="E8" s="61">
        <f>Timing!C32</f>
        <v>2</v>
      </c>
      <c r="F8" s="61">
        <f>Timing!C33</f>
        <v>2</v>
      </c>
      <c r="G8" s="61">
        <f>Timing!C34</f>
        <v>3</v>
      </c>
      <c r="H8" s="61">
        <f>Timing!C35</f>
        <v>3</v>
      </c>
      <c r="I8" s="61">
        <f>Timing!C36</f>
        <v>4</v>
      </c>
      <c r="J8" s="61">
        <f>Timing!C37</f>
        <v>4</v>
      </c>
      <c r="K8" s="61">
        <f>Timing!C38</f>
        <v>5</v>
      </c>
      <c r="L8" s="61">
        <f>Timing!C39</f>
        <v>5</v>
      </c>
      <c r="M8" s="61">
        <f>Timing!C40</f>
        <v>6</v>
      </c>
      <c r="N8" s="61">
        <f>Timing!C41</f>
        <v>6</v>
      </c>
      <c r="O8" s="61">
        <f>Timing!C42</f>
        <v>7</v>
      </c>
      <c r="P8" s="61">
        <f>Timing!C43</f>
        <v>7</v>
      </c>
      <c r="Q8" s="61">
        <f>Timing!C44</f>
        <v>8</v>
      </c>
      <c r="R8" s="61">
        <f>Timing!C45</f>
        <v>8</v>
      </c>
      <c r="S8" s="61">
        <f>Timing!C46</f>
        <v>9</v>
      </c>
      <c r="T8" s="61">
        <f>Timing!C47</f>
        <v>9</v>
      </c>
      <c r="U8" s="61">
        <f>Timing!C48</f>
        <v>10</v>
      </c>
      <c r="V8" s="61">
        <f>Timing!C49</f>
        <v>10</v>
      </c>
    </row>
    <row r="9" spans="2:22" x14ac:dyDescent="0.15">
      <c r="B9" s="8" t="s">
        <v>245</v>
      </c>
      <c r="C9" s="113" t="str">
        <f>Timing!D30</f>
        <v>H1</v>
      </c>
      <c r="D9" s="113" t="str">
        <f>Timing!D31</f>
        <v>H2</v>
      </c>
      <c r="E9" s="113" t="str">
        <f>Timing!D32</f>
        <v>H1</v>
      </c>
      <c r="F9" s="113" t="str">
        <f>Timing!D33</f>
        <v>H2</v>
      </c>
      <c r="G9" s="113" t="str">
        <f>Timing!D34</f>
        <v>H1</v>
      </c>
      <c r="H9" s="113" t="str">
        <f>Timing!D35</f>
        <v>H2</v>
      </c>
      <c r="I9" s="113" t="str">
        <f>Timing!D36</f>
        <v>H1</v>
      </c>
      <c r="J9" s="113" t="str">
        <f>Timing!D37</f>
        <v>H2</v>
      </c>
      <c r="K9" s="113" t="str">
        <f>Timing!D38</f>
        <v>H1</v>
      </c>
      <c r="L9" s="113" t="str">
        <f>Timing!D39</f>
        <v>H2</v>
      </c>
      <c r="M9" s="113" t="str">
        <f>Timing!D40</f>
        <v>H1</v>
      </c>
      <c r="N9" s="113" t="str">
        <f>Timing!D41</f>
        <v>H2</v>
      </c>
      <c r="O9" s="113" t="str">
        <f>Timing!D42</f>
        <v>H1</v>
      </c>
      <c r="P9" s="113" t="str">
        <f>Timing!D43</f>
        <v>H2</v>
      </c>
      <c r="Q9" s="113" t="str">
        <f>Timing!D44</f>
        <v>H1</v>
      </c>
      <c r="R9" s="113" t="str">
        <f>Timing!D45</f>
        <v>H2</v>
      </c>
      <c r="S9" s="113" t="str">
        <f>Timing!D46</f>
        <v>H1</v>
      </c>
      <c r="T9" s="113" t="str">
        <f>Timing!D47</f>
        <v>H2</v>
      </c>
      <c r="U9" s="113" t="str">
        <f>Timing!D48</f>
        <v>H1</v>
      </c>
      <c r="V9" s="113" t="str">
        <f>Timing!D49</f>
        <v>H2</v>
      </c>
    </row>
    <row r="10" spans="2:22" x14ac:dyDescent="0.15">
      <c r="B10" s="8" t="s">
        <v>248</v>
      </c>
      <c r="C10" s="62">
        <f>Timing!G30</f>
        <v>0.25</v>
      </c>
      <c r="D10" s="62">
        <f>Timing!G31</f>
        <v>0.75</v>
      </c>
      <c r="E10" s="62">
        <f>Timing!G32</f>
        <v>1.25</v>
      </c>
      <c r="F10" s="62">
        <f>Timing!G33</f>
        <v>1.75</v>
      </c>
      <c r="G10" s="62">
        <f>Timing!G34</f>
        <v>2.25</v>
      </c>
      <c r="H10" s="62">
        <f>Timing!G35</f>
        <v>2.75</v>
      </c>
      <c r="I10" s="62">
        <f>Timing!G36</f>
        <v>3.25</v>
      </c>
      <c r="J10" s="62">
        <f>Timing!G37</f>
        <v>3.75</v>
      </c>
      <c r="K10" s="62">
        <f>Timing!G38</f>
        <v>4.25</v>
      </c>
      <c r="L10" s="62">
        <f>Timing!G39</f>
        <v>4.75</v>
      </c>
      <c r="M10" s="62">
        <f>Timing!G40</f>
        <v>5.25</v>
      </c>
      <c r="N10" s="62">
        <f>Timing!G41</f>
        <v>5.75</v>
      </c>
      <c r="O10" s="62">
        <f>Timing!G42</f>
        <v>6.25</v>
      </c>
      <c r="P10" s="62">
        <f>Timing!G43</f>
        <v>6.75</v>
      </c>
      <c r="Q10" s="62">
        <f>Timing!G44</f>
        <v>7.25</v>
      </c>
      <c r="R10" s="62">
        <f>Timing!G45</f>
        <v>7.75</v>
      </c>
      <c r="S10" s="62">
        <f>Timing!G46</f>
        <v>8.25</v>
      </c>
      <c r="T10" s="62">
        <f>Timing!G47</f>
        <v>8.75</v>
      </c>
      <c r="U10" s="62">
        <f>Timing!G48</f>
        <v>9.25</v>
      </c>
      <c r="V10" s="62">
        <f>Timing!G49</f>
        <v>9.75</v>
      </c>
    </row>
    <row r="11" spans="2:22" x14ac:dyDescent="0.15">
      <c r="B11" s="54" t="s">
        <v>297</v>
      </c>
      <c r="C11" s="54"/>
      <c r="D11" s="54"/>
      <c r="E11" s="54"/>
      <c r="F11" s="54"/>
      <c r="G11" s="54"/>
      <c r="H11" s="54"/>
      <c r="I11" s="54"/>
      <c r="J11" s="54"/>
      <c r="K11" s="54"/>
      <c r="L11" s="54"/>
      <c r="M11" s="54"/>
      <c r="N11" s="54"/>
      <c r="O11" s="54"/>
      <c r="P11" s="54"/>
      <c r="Q11" s="54"/>
      <c r="R11" s="54"/>
      <c r="S11" s="54"/>
      <c r="T11" s="54"/>
      <c r="U11" s="54"/>
      <c r="V11" s="54"/>
    </row>
    <row r="12" spans="2:22" x14ac:dyDescent="0.15">
      <c r="B12" s="8" t="s">
        <v>298</v>
      </c>
      <c r="C12" s="38">
        <f>IF(C8=1,Assumptions!$F$10*IF(C9="H1",Assumptions!$F$94,Assumptions!$F$95),IF(C8=2,Assumptions!$F$11,Assumptions!$F$12))</f>
        <v>0.42</v>
      </c>
      <c r="D12" s="38">
        <f>IF(D8=1,Assumptions!$F$10*IF(D9="H1",Assumptions!$F$94,Assumptions!$F$95),IF(D8=2,Assumptions!$F$11,Assumptions!$F$12))</f>
        <v>0.78</v>
      </c>
      <c r="E12" s="38">
        <f>IF(E8=1,Assumptions!$F$10*IF(E9="H1",Assumptions!$F$94,Assumptions!$F$95),IF(E8=2,Assumptions!$F$11,Assumptions!$F$12))</f>
        <v>0.8</v>
      </c>
      <c r="F12" s="38">
        <f>IF(F8=1,Assumptions!$F$10*IF(F9="H1",Assumptions!$F$94,Assumptions!$F$95),IF(F8=2,Assumptions!$F$11,Assumptions!$F$12))</f>
        <v>0.8</v>
      </c>
      <c r="G12" s="38">
        <f>IF(G8=1,Assumptions!$F$10*IF(G9="H1",Assumptions!$F$94,Assumptions!$F$95),IF(G8=2,Assumptions!$F$11,Assumptions!$F$12))</f>
        <v>0.95</v>
      </c>
      <c r="H12" s="38">
        <f>IF(H8=1,Assumptions!$F$10*IF(H9="H1",Assumptions!$F$94,Assumptions!$F$95),IF(H8=2,Assumptions!$F$11,Assumptions!$F$12))</f>
        <v>0.95</v>
      </c>
      <c r="I12" s="38">
        <f>IF(I8=1,Assumptions!$F$10*IF(I9="H1",Assumptions!$F$94,Assumptions!$F$95),IF(I8=2,Assumptions!$F$11,Assumptions!$F$12))</f>
        <v>0.95</v>
      </c>
      <c r="J12" s="38">
        <f>IF(J8=1,Assumptions!$F$10*IF(J9="H1",Assumptions!$F$94,Assumptions!$F$95),IF(J8=2,Assumptions!$F$11,Assumptions!$F$12))</f>
        <v>0.95</v>
      </c>
      <c r="K12" s="38">
        <f>IF(K8=1,Assumptions!$F$10*IF(K9="H1",Assumptions!$F$94,Assumptions!$F$95),IF(K8=2,Assumptions!$F$11,Assumptions!$F$12))</f>
        <v>0.95</v>
      </c>
      <c r="L12" s="38">
        <f>IF(L8=1,Assumptions!$F$10*IF(L9="H1",Assumptions!$F$94,Assumptions!$F$95),IF(L8=2,Assumptions!$F$11,Assumptions!$F$12))</f>
        <v>0.95</v>
      </c>
      <c r="M12" s="38">
        <f>IF(M8=1,Assumptions!$F$10*IF(M9="H1",Assumptions!$F$94,Assumptions!$F$95),IF(M8=2,Assumptions!$F$11,Assumptions!$F$12))</f>
        <v>0.95</v>
      </c>
      <c r="N12" s="38">
        <f>IF(N8=1,Assumptions!$F$10*IF(N9="H1",Assumptions!$F$94,Assumptions!$F$95),IF(N8=2,Assumptions!$F$11,Assumptions!$F$12))</f>
        <v>0.95</v>
      </c>
      <c r="O12" s="38">
        <f>IF(O8=1,Assumptions!$F$10*IF(O9="H1",Assumptions!$F$94,Assumptions!$F$95),IF(O8=2,Assumptions!$F$11,Assumptions!$F$12))</f>
        <v>0.95</v>
      </c>
      <c r="P12" s="38">
        <f>IF(P8=1,Assumptions!$F$10*IF(P9="H1",Assumptions!$F$94,Assumptions!$F$95),IF(P8=2,Assumptions!$F$11,Assumptions!$F$12))</f>
        <v>0.95</v>
      </c>
      <c r="Q12" s="38">
        <f>IF(Q8=1,Assumptions!$F$10*IF(Q9="H1",Assumptions!$F$94,Assumptions!$F$95),IF(Q8=2,Assumptions!$F$11,Assumptions!$F$12))</f>
        <v>0.95</v>
      </c>
      <c r="R12" s="38">
        <f>IF(R8=1,Assumptions!$F$10*IF(R9="H1",Assumptions!$F$94,Assumptions!$F$95),IF(R8=2,Assumptions!$F$11,Assumptions!$F$12))</f>
        <v>0.95</v>
      </c>
      <c r="S12" s="38">
        <f>IF(S8=1,Assumptions!$F$10*IF(S9="H1",Assumptions!$F$94,Assumptions!$F$95),IF(S8=2,Assumptions!$F$11,Assumptions!$F$12))</f>
        <v>0.95</v>
      </c>
      <c r="T12" s="38">
        <f>IF(T8=1,Assumptions!$F$10*IF(T9="H1",Assumptions!$F$94,Assumptions!$F$95),IF(T8=2,Assumptions!$F$11,Assumptions!$F$12))</f>
        <v>0.95</v>
      </c>
      <c r="U12" s="38">
        <f>IF(U8=1,Assumptions!$F$10*IF(U9="H1",Assumptions!$F$94,Assumptions!$F$95),IF(U8=2,Assumptions!$F$11,Assumptions!$F$12))</f>
        <v>0.95</v>
      </c>
      <c r="V12" s="38">
        <f>IF(V8=1,Assumptions!$F$10*IF(V9="H1",Assumptions!$F$94,Assumptions!$F$95),IF(V8=2,Assumptions!$F$11,Assumptions!$F$12))</f>
        <v>0.95</v>
      </c>
    </row>
    <row r="13" spans="2:22" x14ac:dyDescent="0.15">
      <c r="B13" s="8" t="s">
        <v>299</v>
      </c>
      <c r="C13" s="37">
        <f>C12*Assumptions!$F$9/2</f>
        <v>3150</v>
      </c>
      <c r="D13" s="37">
        <f>D12*Assumptions!$F$9/2</f>
        <v>5850</v>
      </c>
      <c r="E13" s="37">
        <f>E12*Assumptions!$F$9/2</f>
        <v>6000</v>
      </c>
      <c r="F13" s="37">
        <f>F12*Assumptions!$F$9/2</f>
        <v>6000</v>
      </c>
      <c r="G13" s="37">
        <f>G12*Assumptions!$F$9/2</f>
        <v>7125</v>
      </c>
      <c r="H13" s="37">
        <f>H12*Assumptions!$F$9/2</f>
        <v>7125</v>
      </c>
      <c r="I13" s="37">
        <f>I12*Assumptions!$F$9/2</f>
        <v>7125</v>
      </c>
      <c r="J13" s="37">
        <f>J12*Assumptions!$F$9/2</f>
        <v>7125</v>
      </c>
      <c r="K13" s="37">
        <f>K12*Assumptions!$F$9/2</f>
        <v>7125</v>
      </c>
      <c r="L13" s="37">
        <f>L12*Assumptions!$F$9/2</f>
        <v>7125</v>
      </c>
      <c r="M13" s="37">
        <f>M12*Assumptions!$F$9/2</f>
        <v>7125</v>
      </c>
      <c r="N13" s="37">
        <f>N12*Assumptions!$F$9/2</f>
        <v>7125</v>
      </c>
      <c r="O13" s="37">
        <f>O12*Assumptions!$F$9/2</f>
        <v>7125</v>
      </c>
      <c r="P13" s="37">
        <f>P12*Assumptions!$F$9/2</f>
        <v>7125</v>
      </c>
      <c r="Q13" s="37">
        <f>Q12*Assumptions!$F$9/2</f>
        <v>7125</v>
      </c>
      <c r="R13" s="37">
        <f>R12*Assumptions!$F$9/2</f>
        <v>7125</v>
      </c>
      <c r="S13" s="37">
        <f>S12*Assumptions!$F$9/2</f>
        <v>7125</v>
      </c>
      <c r="T13" s="37">
        <f>T12*Assumptions!$F$9/2</f>
        <v>7125</v>
      </c>
      <c r="U13" s="37">
        <f>U12*Assumptions!$F$9/2</f>
        <v>7125</v>
      </c>
      <c r="V13" s="37">
        <f>V12*Assumptions!$F$9/2</f>
        <v>7125</v>
      </c>
    </row>
    <row r="14" spans="2:22" x14ac:dyDescent="0.15">
      <c r="B14" s="8" t="s">
        <v>300</v>
      </c>
      <c r="C14" s="63">
        <f>C13*Assumptions!$F$13</f>
        <v>2677.5</v>
      </c>
      <c r="D14" s="63">
        <f>D13*Assumptions!$F$13</f>
        <v>4972.5</v>
      </c>
      <c r="E14" s="63">
        <f>E13*Assumptions!$F$13</f>
        <v>5100</v>
      </c>
      <c r="F14" s="63">
        <f>F13*Assumptions!$F$13</f>
        <v>5100</v>
      </c>
      <c r="G14" s="63">
        <f>G13*Assumptions!$F$13</f>
        <v>6056.25</v>
      </c>
      <c r="H14" s="63">
        <f>H13*Assumptions!$F$13</f>
        <v>6056.25</v>
      </c>
      <c r="I14" s="63">
        <f>I13*Assumptions!$F$13</f>
        <v>6056.25</v>
      </c>
      <c r="J14" s="63">
        <f>J13*Assumptions!$F$13</f>
        <v>6056.25</v>
      </c>
      <c r="K14" s="63">
        <f>K13*Assumptions!$F$13</f>
        <v>6056.25</v>
      </c>
      <c r="L14" s="63">
        <f>L13*Assumptions!$F$13</f>
        <v>6056.25</v>
      </c>
      <c r="M14" s="63">
        <f>M13*Assumptions!$F$13</f>
        <v>6056.25</v>
      </c>
      <c r="N14" s="63">
        <f>N13*Assumptions!$F$13</f>
        <v>6056.25</v>
      </c>
      <c r="O14" s="63">
        <f>O13*Assumptions!$F$13</f>
        <v>6056.25</v>
      </c>
      <c r="P14" s="63">
        <f>P13*Assumptions!$F$13</f>
        <v>6056.25</v>
      </c>
      <c r="Q14" s="63">
        <f>Q13*Assumptions!$F$13</f>
        <v>6056.25</v>
      </c>
      <c r="R14" s="63">
        <f>R13*Assumptions!$F$13</f>
        <v>6056.25</v>
      </c>
      <c r="S14" s="63">
        <f>S13*Assumptions!$F$13</f>
        <v>6056.25</v>
      </c>
      <c r="T14" s="63">
        <f>T13*Assumptions!$F$13</f>
        <v>6056.25</v>
      </c>
      <c r="U14" s="63">
        <f>U13*Assumptions!$F$13</f>
        <v>6056.25</v>
      </c>
      <c r="V14" s="63">
        <f>V13*Assumptions!$F$13</f>
        <v>6056.25</v>
      </c>
    </row>
    <row r="15" spans="2:22" x14ac:dyDescent="0.15">
      <c r="B15" s="64" t="s">
        <v>301</v>
      </c>
      <c r="C15" s="37">
        <f>C14*Assumptions!$F$15</f>
        <v>1071</v>
      </c>
      <c r="D15" s="37">
        <f>D14*Assumptions!$F$15</f>
        <v>1989</v>
      </c>
      <c r="E15" s="37">
        <f>E14*Assumptions!$F$15</f>
        <v>2040</v>
      </c>
      <c r="F15" s="37">
        <f>F14*Assumptions!$F$15</f>
        <v>2040</v>
      </c>
      <c r="G15" s="37">
        <f>G14*Assumptions!$F$15</f>
        <v>2422.5</v>
      </c>
      <c r="H15" s="37">
        <f>H14*Assumptions!$F$15</f>
        <v>2422.5</v>
      </c>
      <c r="I15" s="37">
        <f>I14*Assumptions!$F$15</f>
        <v>2422.5</v>
      </c>
      <c r="J15" s="37">
        <f>J14*Assumptions!$F$15</f>
        <v>2422.5</v>
      </c>
      <c r="K15" s="37">
        <f>K14*Assumptions!$F$15</f>
        <v>2422.5</v>
      </c>
      <c r="L15" s="37">
        <f>L14*Assumptions!$F$15</f>
        <v>2422.5</v>
      </c>
      <c r="M15" s="37">
        <f>M14*Assumptions!$F$15</f>
        <v>2422.5</v>
      </c>
      <c r="N15" s="37">
        <f>N14*Assumptions!$F$15</f>
        <v>2422.5</v>
      </c>
      <c r="O15" s="37">
        <f>O14*Assumptions!$F$15</f>
        <v>2422.5</v>
      </c>
      <c r="P15" s="37">
        <f>P14*Assumptions!$F$15</f>
        <v>2422.5</v>
      </c>
      <c r="Q15" s="37">
        <f>Q14*Assumptions!$F$15</f>
        <v>2422.5</v>
      </c>
      <c r="R15" s="37">
        <f>R14*Assumptions!$F$15</f>
        <v>2422.5</v>
      </c>
      <c r="S15" s="37">
        <f>S14*Assumptions!$F$15</f>
        <v>2422.5</v>
      </c>
      <c r="T15" s="37">
        <f>T14*Assumptions!$F$15</f>
        <v>2422.5</v>
      </c>
      <c r="U15" s="37">
        <f>U14*Assumptions!$F$15</f>
        <v>2422.5</v>
      </c>
      <c r="V15" s="37">
        <f>V14*Assumptions!$F$15</f>
        <v>2422.5</v>
      </c>
    </row>
    <row r="16" spans="2:22" x14ac:dyDescent="0.15">
      <c r="B16" s="64" t="s">
        <v>302</v>
      </c>
      <c r="C16" s="37">
        <f>C14*Assumptions!$F$16</f>
        <v>803.25</v>
      </c>
      <c r="D16" s="37">
        <f>D14*Assumptions!$F$16</f>
        <v>1491.75</v>
      </c>
      <c r="E16" s="37">
        <f>E14*Assumptions!$F$16</f>
        <v>1530</v>
      </c>
      <c r="F16" s="37">
        <f>F14*Assumptions!$F$16</f>
        <v>1530</v>
      </c>
      <c r="G16" s="37">
        <f>G14*Assumptions!$F$16</f>
        <v>1816.875</v>
      </c>
      <c r="H16" s="37">
        <f>H14*Assumptions!$F$16</f>
        <v>1816.875</v>
      </c>
      <c r="I16" s="37">
        <f>I14*Assumptions!$F$16</f>
        <v>1816.875</v>
      </c>
      <c r="J16" s="37">
        <f>J14*Assumptions!$F$16</f>
        <v>1816.875</v>
      </c>
      <c r="K16" s="37">
        <f>K14*Assumptions!$F$16</f>
        <v>1816.875</v>
      </c>
      <c r="L16" s="37">
        <f>L14*Assumptions!$F$16</f>
        <v>1816.875</v>
      </c>
      <c r="M16" s="37">
        <f>M14*Assumptions!$F$16</f>
        <v>1816.875</v>
      </c>
      <c r="N16" s="37">
        <f>N14*Assumptions!$F$16</f>
        <v>1816.875</v>
      </c>
      <c r="O16" s="37">
        <f>O14*Assumptions!$F$16</f>
        <v>1816.875</v>
      </c>
      <c r="P16" s="37">
        <f>P14*Assumptions!$F$16</f>
        <v>1816.875</v>
      </c>
      <c r="Q16" s="37">
        <f>Q14*Assumptions!$F$16</f>
        <v>1816.875</v>
      </c>
      <c r="R16" s="37">
        <f>R14*Assumptions!$F$16</f>
        <v>1816.875</v>
      </c>
      <c r="S16" s="37">
        <f>S14*Assumptions!$F$16</f>
        <v>1816.875</v>
      </c>
      <c r="T16" s="37">
        <f>T14*Assumptions!$F$16</f>
        <v>1816.875</v>
      </c>
      <c r="U16" s="37">
        <f>U14*Assumptions!$F$16</f>
        <v>1816.875</v>
      </c>
      <c r="V16" s="37">
        <f>V14*Assumptions!$F$16</f>
        <v>1816.875</v>
      </c>
    </row>
    <row r="17" spans="2:22" x14ac:dyDescent="0.15">
      <c r="B17" s="64" t="s">
        <v>303</v>
      </c>
      <c r="C17" s="37">
        <f>C14*Assumptions!$F$17</f>
        <v>803.25</v>
      </c>
      <c r="D17" s="37">
        <f>D14*Assumptions!$F$17</f>
        <v>1491.75</v>
      </c>
      <c r="E17" s="37">
        <f>E14*Assumptions!$F$17</f>
        <v>1530</v>
      </c>
      <c r="F17" s="37">
        <f>F14*Assumptions!$F$17</f>
        <v>1530</v>
      </c>
      <c r="G17" s="37">
        <f>G14*Assumptions!$F$17</f>
        <v>1816.875</v>
      </c>
      <c r="H17" s="37">
        <f>H14*Assumptions!$F$17</f>
        <v>1816.875</v>
      </c>
      <c r="I17" s="37">
        <f>I14*Assumptions!$F$17</f>
        <v>1816.875</v>
      </c>
      <c r="J17" s="37">
        <f>J14*Assumptions!$F$17</f>
        <v>1816.875</v>
      </c>
      <c r="K17" s="37">
        <f>K14*Assumptions!$F$17</f>
        <v>1816.875</v>
      </c>
      <c r="L17" s="37">
        <f>L14*Assumptions!$F$17</f>
        <v>1816.875</v>
      </c>
      <c r="M17" s="37">
        <f>M14*Assumptions!$F$17</f>
        <v>1816.875</v>
      </c>
      <c r="N17" s="37">
        <f>N14*Assumptions!$F$17</f>
        <v>1816.875</v>
      </c>
      <c r="O17" s="37">
        <f>O14*Assumptions!$F$17</f>
        <v>1816.875</v>
      </c>
      <c r="P17" s="37">
        <f>P14*Assumptions!$F$17</f>
        <v>1816.875</v>
      </c>
      <c r="Q17" s="37">
        <f>Q14*Assumptions!$F$17</f>
        <v>1816.875</v>
      </c>
      <c r="R17" s="37">
        <f>R14*Assumptions!$F$17</f>
        <v>1816.875</v>
      </c>
      <c r="S17" s="37">
        <f>S14*Assumptions!$F$17</f>
        <v>1816.875</v>
      </c>
      <c r="T17" s="37">
        <f>T14*Assumptions!$F$17</f>
        <v>1816.875</v>
      </c>
      <c r="U17" s="37">
        <f>U14*Assumptions!$F$17</f>
        <v>1816.875</v>
      </c>
      <c r="V17" s="37">
        <f>V14*Assumptions!$F$17</f>
        <v>1816.875</v>
      </c>
    </row>
    <row r="18" spans="2:22" x14ac:dyDescent="0.15">
      <c r="B18" s="54" t="s">
        <v>304</v>
      </c>
      <c r="C18" s="54"/>
      <c r="D18" s="54"/>
      <c r="E18" s="54"/>
      <c r="F18" s="54"/>
      <c r="G18" s="54"/>
      <c r="H18" s="54"/>
      <c r="I18" s="54"/>
      <c r="J18" s="54"/>
      <c r="K18" s="54"/>
      <c r="L18" s="54"/>
      <c r="M18" s="54"/>
      <c r="N18" s="54"/>
      <c r="O18" s="54"/>
      <c r="P18" s="54"/>
      <c r="Q18" s="54"/>
      <c r="R18" s="54"/>
      <c r="S18" s="54"/>
      <c r="T18" s="54"/>
      <c r="U18" s="54"/>
      <c r="V18" s="54"/>
    </row>
    <row r="19" spans="2:22" x14ac:dyDescent="0.15">
      <c r="B19" s="8" t="s">
        <v>305</v>
      </c>
      <c r="C19" s="39">
        <f>Assumptions!$F$20*(1+Assumptions!$F$49)^C10</f>
        <v>7038.1863905350237</v>
      </c>
      <c r="D19" s="39">
        <f>Assumptions!$F$20*(1+Assumptions!$F$49)^D10</f>
        <v>7115.1852510392528</v>
      </c>
      <c r="E19" s="39">
        <f>Assumptions!$F$20*(1+Assumptions!$F$49)^E10</f>
        <v>7193.0264911267959</v>
      </c>
      <c r="F19" s="39">
        <f>Assumptions!$F$20*(1+Assumptions!$F$49)^F10</f>
        <v>7271.7193265621154</v>
      </c>
      <c r="G19" s="39">
        <f>Assumptions!$F$20*(1+Assumptions!$F$49)^G10</f>
        <v>7351.2730739315848</v>
      </c>
      <c r="H19" s="39">
        <f>Assumptions!$F$20*(1+Assumptions!$F$49)^H10</f>
        <v>7431.6971517464826</v>
      </c>
      <c r="I19" s="39">
        <f>Assumptions!$F$20*(1+Assumptions!$F$49)^I10</f>
        <v>7513.0010815580799</v>
      </c>
      <c r="J19" s="39">
        <f>Assumptions!$F$20*(1+Assumptions!$F$49)^J10</f>
        <v>7595.1944890849054</v>
      </c>
      <c r="K19" s="39">
        <f>Assumptions!$F$20*(1+Assumptions!$F$49)^K10</f>
        <v>7678.2871053523577</v>
      </c>
      <c r="L19" s="39">
        <f>Assumptions!$F$20*(1+Assumptions!$F$49)^L10</f>
        <v>7762.2887678447732</v>
      </c>
      <c r="M19" s="39">
        <f>Assumptions!$F$20*(1+Assumptions!$F$49)^M10</f>
        <v>7847.2094216701098</v>
      </c>
      <c r="N19" s="39">
        <f>Assumptions!$F$20*(1+Assumptions!$F$49)^N10</f>
        <v>7933.0591207373591</v>
      </c>
      <c r="O19" s="39">
        <f>Assumptions!$F$20*(1+Assumptions!$F$49)^O10</f>
        <v>8019.8480289468525</v>
      </c>
      <c r="P19" s="39">
        <f>Assumptions!$F$20*(1+Assumptions!$F$49)^P10</f>
        <v>8107.5864213935811</v>
      </c>
      <c r="Q19" s="39">
        <f>Assumptions!$F$20*(1+Assumptions!$F$49)^Q10</f>
        <v>8196.2846855836833</v>
      </c>
      <c r="R19" s="39">
        <f>Assumptions!$F$20*(1+Assumptions!$F$49)^R10</f>
        <v>8285.9533226642397</v>
      </c>
      <c r="S19" s="39">
        <f>Assumptions!$F$20*(1+Assumptions!$F$49)^S10</f>
        <v>8376.6029486665248</v>
      </c>
      <c r="T19" s="39">
        <f>Assumptions!$F$20*(1+Assumptions!$F$49)^T10</f>
        <v>8468.2442957628537</v>
      </c>
      <c r="U19" s="39">
        <f>Assumptions!$F$20*(1+Assumptions!$F$49)^U10</f>
        <v>8560.8882135371878</v>
      </c>
      <c r="V19" s="39">
        <f>Assumptions!$F$20*(1+Assumptions!$F$49)^V10</f>
        <v>8654.5456702696374</v>
      </c>
    </row>
    <row r="20" spans="2:22" x14ac:dyDescent="0.15">
      <c r="B20" s="64" t="s">
        <v>306</v>
      </c>
      <c r="C20" s="39">
        <f>MAX((Assumptions!$F$97*(Assumptions!$F$20+Assumptions!$F$21)*(1+Assumptions!$F$49)^C10),C19+(Assumptions!$F$21*(1+IF(C8&gt;=Assumptions!$F$99,Assumptions!$F$100,0))))</f>
        <v>7438.1863905350237</v>
      </c>
      <c r="D20" s="39">
        <f>MAX((Assumptions!$F$97*(Assumptions!$F$20+Assumptions!$F$21)*(1+Assumptions!$F$49)^D10),D19+(Assumptions!$F$21*(1+IF(D8&gt;=Assumptions!$F$99,Assumptions!$F$100,0))))</f>
        <v>7515.1852510392528</v>
      </c>
      <c r="E20" s="39">
        <f>MAX((Assumptions!$F$97*(Assumptions!$F$20+Assumptions!$F$21)*(1+Assumptions!$F$49)^E10),E19+(Assumptions!$F$21*(1+IF(E8&gt;=Assumptions!$F$99,Assumptions!$F$100,0))))</f>
        <v>7593.0264911267959</v>
      </c>
      <c r="F20" s="39">
        <f>MAX((Assumptions!$F$97*(Assumptions!$F$20+Assumptions!$F$21)*(1+Assumptions!$F$49)^F10),F19+(Assumptions!$F$21*(1+IF(F8&gt;=Assumptions!$F$99,Assumptions!$F$100,0))))</f>
        <v>7671.7193265621154</v>
      </c>
      <c r="G20" s="39">
        <f>MAX((Assumptions!$F$97*(Assumptions!$F$20+Assumptions!$F$21)*(1+Assumptions!$F$49)^G10),G19+(Assumptions!$F$21*(1+IF(G8&gt;=Assumptions!$F$99,Assumptions!$F$100,0))))</f>
        <v>7751.2730739315848</v>
      </c>
      <c r="H20" s="39">
        <f>MAX((Assumptions!$F$97*(Assumptions!$F$20+Assumptions!$F$21)*(1+Assumptions!$F$49)^H10),H19+(Assumptions!$F$21*(1+IF(H8&gt;=Assumptions!$F$99,Assumptions!$F$100,0))))</f>
        <v>7831.6971517464826</v>
      </c>
      <c r="I20" s="39">
        <f>MAX((Assumptions!$F$97*(Assumptions!$F$20+Assumptions!$F$21)*(1+Assumptions!$F$49)^I10),I19+(Assumptions!$F$21*(1+IF(I8&gt;=Assumptions!$F$99,Assumptions!$F$100,0))))</f>
        <v>7913.0010815580799</v>
      </c>
      <c r="J20" s="39">
        <f>MAX((Assumptions!$F$97*(Assumptions!$F$20+Assumptions!$F$21)*(1+Assumptions!$F$49)^J10),J19+(Assumptions!$F$21*(1+IF(J8&gt;=Assumptions!$F$99,Assumptions!$F$100,0))))</f>
        <v>7995.1944890849054</v>
      </c>
      <c r="K20" s="39">
        <f>MAX((Assumptions!$F$97*(Assumptions!$F$20+Assumptions!$F$21)*(1+Assumptions!$F$49)^K10),K19+(Assumptions!$F$21*(1+IF(K8&gt;=Assumptions!$F$99,Assumptions!$F$100,0))))</f>
        <v>8038.2871053523577</v>
      </c>
      <c r="L20" s="39">
        <f>MAX((Assumptions!$F$97*(Assumptions!$F$20+Assumptions!$F$21)*(1+Assumptions!$F$49)^L10),L19+(Assumptions!$F$21*(1+IF(L8&gt;=Assumptions!$F$99,Assumptions!$F$100,0))))</f>
        <v>8122.2887678447732</v>
      </c>
      <c r="M20" s="39">
        <f>MAX((Assumptions!$F$97*(Assumptions!$F$20+Assumptions!$F$21)*(1+Assumptions!$F$49)^M10),M19+(Assumptions!$F$21*(1+IF(M8&gt;=Assumptions!$F$99,Assumptions!$F$100,0))))</f>
        <v>8207.2094216701098</v>
      </c>
      <c r="N20" s="39">
        <f>MAX((Assumptions!$F$97*(Assumptions!$F$20+Assumptions!$F$21)*(1+Assumptions!$F$49)^N10),N19+(Assumptions!$F$21*(1+IF(N8&gt;=Assumptions!$F$99,Assumptions!$F$100,0))))</f>
        <v>8293.0591207373582</v>
      </c>
      <c r="O20" s="39">
        <f>MAX((Assumptions!$F$97*(Assumptions!$F$20+Assumptions!$F$21)*(1+Assumptions!$F$49)^O10),O19+(Assumptions!$F$21*(1+IF(O8&gt;=Assumptions!$F$99,Assumptions!$F$100,0))))</f>
        <v>8379.8480289468534</v>
      </c>
      <c r="P20" s="39">
        <f>MAX((Assumptions!$F$97*(Assumptions!$F$20+Assumptions!$F$21)*(1+Assumptions!$F$49)^P10),P19+(Assumptions!$F$21*(1+IF(P8&gt;=Assumptions!$F$99,Assumptions!$F$100,0))))</f>
        <v>8467.586421393582</v>
      </c>
      <c r="Q20" s="39">
        <f>MAX((Assumptions!$F$97*(Assumptions!$F$20+Assumptions!$F$21)*(1+Assumptions!$F$49)^Q10),Q19+(Assumptions!$F$21*(1+IF(Q8&gt;=Assumptions!$F$99,Assumptions!$F$100,0))))</f>
        <v>8556.2846855836833</v>
      </c>
      <c r="R20" s="39">
        <f>MAX((Assumptions!$F$97*(Assumptions!$F$20+Assumptions!$F$21)*(1+Assumptions!$F$49)^R10),R19+(Assumptions!$F$21*(1+IF(R8&gt;=Assumptions!$F$99,Assumptions!$F$100,0))))</f>
        <v>8645.9533226642397</v>
      </c>
      <c r="S20" s="39">
        <f>MAX((Assumptions!$F$97*(Assumptions!$F$20+Assumptions!$F$21)*(1+Assumptions!$F$49)^S10),S19+(Assumptions!$F$21*(1+IF(S8&gt;=Assumptions!$F$99,Assumptions!$F$100,0))))</f>
        <v>8736.6029486665248</v>
      </c>
      <c r="T20" s="39">
        <f>MAX((Assumptions!$F$97*(Assumptions!$F$20+Assumptions!$F$21)*(1+Assumptions!$F$49)^T10),T19+(Assumptions!$F$21*(1+IF(T8&gt;=Assumptions!$F$99,Assumptions!$F$100,0))))</f>
        <v>8828.2442957628537</v>
      </c>
      <c r="U20" s="39">
        <f>MAX((Assumptions!$F$97*(Assumptions!$F$20+Assumptions!$F$21)*(1+Assumptions!$F$49)^U10),U19+(Assumptions!$F$21*(1+IF(U8&gt;=Assumptions!$F$99,Assumptions!$F$100,0))))</f>
        <v>8920.8882135371878</v>
      </c>
      <c r="V20" s="39">
        <f>MAX((Assumptions!$F$97*(Assumptions!$F$20+Assumptions!$F$21)*(1+Assumptions!$F$49)^V10),V19+(Assumptions!$F$21*(1+IF(V8&gt;=Assumptions!$F$99,Assumptions!$F$100,0))))</f>
        <v>9014.5456702696374</v>
      </c>
    </row>
    <row r="21" spans="2:22" x14ac:dyDescent="0.15">
      <c r="B21" s="64" t="s">
        <v>307</v>
      </c>
      <c r="C21" s="39">
        <f>C19+Assumptions!$F$21*Assumptions!$F$26</f>
        <v>7238.1863905350237</v>
      </c>
      <c r="D21" s="39">
        <f>D19+Assumptions!$F$21*Assumptions!$F$26</f>
        <v>7315.1852510392528</v>
      </c>
      <c r="E21" s="39">
        <f>E19+Assumptions!$F$21*Assumptions!$F$26</f>
        <v>7393.0264911267959</v>
      </c>
      <c r="F21" s="39">
        <f>F19+Assumptions!$F$21*Assumptions!$F$26</f>
        <v>7471.7193265621154</v>
      </c>
      <c r="G21" s="39">
        <f>G19+Assumptions!$F$21*Assumptions!$F$26</f>
        <v>7551.2730739315848</v>
      </c>
      <c r="H21" s="39">
        <f>H19+Assumptions!$F$21*Assumptions!$F$26</f>
        <v>7631.6971517464826</v>
      </c>
      <c r="I21" s="39">
        <f>I19+Assumptions!$F$21*Assumptions!$F$26</f>
        <v>7713.0010815580799</v>
      </c>
      <c r="J21" s="39">
        <f>J19+Assumptions!$F$21*Assumptions!$F$26</f>
        <v>7795.1944890849054</v>
      </c>
      <c r="K21" s="39">
        <f>K19+Assumptions!$F$21*Assumptions!$F$26</f>
        <v>7878.2871053523577</v>
      </c>
      <c r="L21" s="39">
        <f>L19+Assumptions!$F$21*Assumptions!$F$26</f>
        <v>7962.2887678447732</v>
      </c>
      <c r="M21" s="39">
        <f>M19+Assumptions!$F$21*Assumptions!$F$26</f>
        <v>8047.2094216701098</v>
      </c>
      <c r="N21" s="39">
        <f>N19+Assumptions!$F$21*Assumptions!$F$26</f>
        <v>8133.0591207373591</v>
      </c>
      <c r="O21" s="39">
        <f>O19+Assumptions!$F$21*Assumptions!$F$26</f>
        <v>8219.8480289468534</v>
      </c>
      <c r="P21" s="39">
        <f>P19+Assumptions!$F$21*Assumptions!$F$26</f>
        <v>8307.586421393582</v>
      </c>
      <c r="Q21" s="39">
        <f>Q19+Assumptions!$F$21*Assumptions!$F$26</f>
        <v>8396.2846855836833</v>
      </c>
      <c r="R21" s="39">
        <f>R19+Assumptions!$F$21*Assumptions!$F$26</f>
        <v>8485.9533226642397</v>
      </c>
      <c r="S21" s="39">
        <f>S19+Assumptions!$F$21*Assumptions!$F$26</f>
        <v>8576.6029486665248</v>
      </c>
      <c r="T21" s="39">
        <f>T19+Assumptions!$F$21*Assumptions!$F$26</f>
        <v>8668.2442957628537</v>
      </c>
      <c r="U21" s="39">
        <f>U19+Assumptions!$F$21*Assumptions!$F$26</f>
        <v>8760.8882135371878</v>
      </c>
      <c r="V21" s="39">
        <f>V19+Assumptions!$F$21*Assumptions!$F$26</f>
        <v>8854.5456702696374</v>
      </c>
    </row>
    <row r="22" spans="2:22" x14ac:dyDescent="0.15">
      <c r="B22" s="64" t="s">
        <v>308</v>
      </c>
      <c r="C22" s="39">
        <f>MAX((Assumptions!$F$97*(Assumptions!$F$20+Assumptions!$F$22)*(1+Assumptions!$F$49)^C10),C19+(Assumptions!$F$22*(1+IF(C8&gt;=Assumptions!$F$99,Assumptions!$F$100,0))))</f>
        <v>8838.1863905350237</v>
      </c>
      <c r="D22" s="39">
        <f>MAX((Assumptions!$F$97*(Assumptions!$F$20+Assumptions!$F$22)*(1+Assumptions!$F$49)^D10),D19+(Assumptions!$F$22*(1+IF(D8&gt;=Assumptions!$F$99,Assumptions!$F$100,0))))</f>
        <v>8915.1852510392528</v>
      </c>
      <c r="E22" s="39">
        <f>MAX((Assumptions!$F$97*(Assumptions!$F$20+Assumptions!$F$22)*(1+Assumptions!$F$49)^E10),E19+(Assumptions!$F$22*(1+IF(E8&gt;=Assumptions!$F$99,Assumptions!$F$100,0))))</f>
        <v>8993.026491126795</v>
      </c>
      <c r="F22" s="39">
        <f>MAX((Assumptions!$F$97*(Assumptions!$F$20+Assumptions!$F$22)*(1+Assumptions!$F$49)^F10),F19+(Assumptions!$F$22*(1+IF(F8&gt;=Assumptions!$F$99,Assumptions!$F$100,0))))</f>
        <v>9071.7193265621154</v>
      </c>
      <c r="G22" s="39">
        <f>MAX((Assumptions!$F$97*(Assumptions!$F$20+Assumptions!$F$22)*(1+Assumptions!$F$49)^G10),G19+(Assumptions!$F$22*(1+IF(G8&gt;=Assumptions!$F$99,Assumptions!$F$100,0))))</f>
        <v>9151.2730739315848</v>
      </c>
      <c r="H22" s="39">
        <f>MAX((Assumptions!$F$97*(Assumptions!$F$20+Assumptions!$F$22)*(1+Assumptions!$F$49)^H10),H19+(Assumptions!$F$22*(1+IF(H8&gt;=Assumptions!$F$99,Assumptions!$F$100,0))))</f>
        <v>9231.6971517464826</v>
      </c>
      <c r="I22" s="39">
        <f>MAX((Assumptions!$F$97*(Assumptions!$F$20+Assumptions!$F$22)*(1+Assumptions!$F$49)^I10),I19+(Assumptions!$F$22*(1+IF(I8&gt;=Assumptions!$F$99,Assumptions!$F$100,0))))</f>
        <v>9313.001081558079</v>
      </c>
      <c r="J22" s="39">
        <f>MAX((Assumptions!$F$97*(Assumptions!$F$20+Assumptions!$F$22)*(1+Assumptions!$F$49)^J10),J19+(Assumptions!$F$22*(1+IF(J8&gt;=Assumptions!$F$99,Assumptions!$F$100,0))))</f>
        <v>9395.1944890849045</v>
      </c>
      <c r="K22" s="39">
        <f>MAX((Assumptions!$F$97*(Assumptions!$F$20+Assumptions!$F$22)*(1+Assumptions!$F$49)^K10),K19+(Assumptions!$F$22*(1+IF(K8&gt;=Assumptions!$F$99,Assumptions!$F$100,0))))</f>
        <v>9298.2871053523577</v>
      </c>
      <c r="L22" s="39">
        <f>MAX((Assumptions!$F$97*(Assumptions!$F$20+Assumptions!$F$22)*(1+Assumptions!$F$49)^L10),L19+(Assumptions!$F$22*(1+IF(L8&gt;=Assumptions!$F$99,Assumptions!$F$100,0))))</f>
        <v>9382.2887678447732</v>
      </c>
      <c r="M22" s="39">
        <f>MAX((Assumptions!$F$97*(Assumptions!$F$20+Assumptions!$F$22)*(1+Assumptions!$F$49)^M10),M19+(Assumptions!$F$22*(1+IF(M8&gt;=Assumptions!$F$99,Assumptions!$F$100,0))))</f>
        <v>9467.2094216701098</v>
      </c>
      <c r="N22" s="39">
        <f>MAX((Assumptions!$F$97*(Assumptions!$F$20+Assumptions!$F$22)*(1+Assumptions!$F$49)^N10),N19+(Assumptions!$F$22*(1+IF(N8&gt;=Assumptions!$F$99,Assumptions!$F$100,0))))</f>
        <v>9553.0591207373582</v>
      </c>
      <c r="O22" s="39">
        <f>MAX((Assumptions!$F$97*(Assumptions!$F$20+Assumptions!$F$22)*(1+Assumptions!$F$49)^O10),O19+(Assumptions!$F$22*(1+IF(O8&gt;=Assumptions!$F$99,Assumptions!$F$100,0))))</f>
        <v>9639.8480289468534</v>
      </c>
      <c r="P22" s="39">
        <f>MAX((Assumptions!$F$97*(Assumptions!$F$20+Assumptions!$F$22)*(1+Assumptions!$F$49)^P10),P19+(Assumptions!$F$22*(1+IF(P8&gt;=Assumptions!$F$99,Assumptions!$F$100,0))))</f>
        <v>9727.586421393582</v>
      </c>
      <c r="Q22" s="39">
        <f>MAX((Assumptions!$F$97*(Assumptions!$F$20+Assumptions!$F$22)*(1+Assumptions!$F$49)^Q10),Q19+(Assumptions!$F$22*(1+IF(Q8&gt;=Assumptions!$F$99,Assumptions!$F$100,0))))</f>
        <v>9816.2846855836833</v>
      </c>
      <c r="R22" s="39">
        <f>MAX((Assumptions!$F$97*(Assumptions!$F$20+Assumptions!$F$22)*(1+Assumptions!$F$49)^R10),R19+(Assumptions!$F$22*(1+IF(R8&gt;=Assumptions!$F$99,Assumptions!$F$100,0))))</f>
        <v>9905.9533226642397</v>
      </c>
      <c r="S22" s="39">
        <f>MAX((Assumptions!$F$97*(Assumptions!$F$20+Assumptions!$F$22)*(1+Assumptions!$F$49)^S10),S19+(Assumptions!$F$22*(1+IF(S8&gt;=Assumptions!$F$99,Assumptions!$F$100,0))))</f>
        <v>9996.6029486665248</v>
      </c>
      <c r="T22" s="39">
        <f>MAX((Assumptions!$F$97*(Assumptions!$F$20+Assumptions!$F$22)*(1+Assumptions!$F$49)^T10),T19+(Assumptions!$F$22*(1+IF(T8&gt;=Assumptions!$F$99,Assumptions!$F$100,0))))</f>
        <v>10088.244295762854</v>
      </c>
      <c r="U22" s="39">
        <f>MAX((Assumptions!$F$97*(Assumptions!$F$20+Assumptions!$F$22)*(1+Assumptions!$F$49)^U10),U19+(Assumptions!$F$22*(1+IF(U8&gt;=Assumptions!$F$99,Assumptions!$F$100,0))))</f>
        <v>10180.888213537188</v>
      </c>
      <c r="V22" s="39">
        <f>MAX((Assumptions!$F$97*(Assumptions!$F$20+Assumptions!$F$22)*(1+Assumptions!$F$49)^V10),V19+(Assumptions!$F$22*(1+IF(V8&gt;=Assumptions!$F$99,Assumptions!$F$100,0))))</f>
        <v>10274.545670269637</v>
      </c>
    </row>
    <row r="23" spans="2:22" x14ac:dyDescent="0.15">
      <c r="B23" s="64" t="s">
        <v>309</v>
      </c>
      <c r="C23" s="39">
        <f>C19+Assumptions!$F$22*Assumptions!$F$26</f>
        <v>7938.1863905350237</v>
      </c>
      <c r="D23" s="39">
        <f>D19+Assumptions!$F$22*Assumptions!$F$26</f>
        <v>8015.1852510392528</v>
      </c>
      <c r="E23" s="39">
        <f>E19+Assumptions!$F$22*Assumptions!$F$26</f>
        <v>8093.0264911267959</v>
      </c>
      <c r="F23" s="39">
        <f>F19+Assumptions!$F$22*Assumptions!$F$26</f>
        <v>8171.7193265621154</v>
      </c>
      <c r="G23" s="39">
        <f>G19+Assumptions!$F$22*Assumptions!$F$26</f>
        <v>8251.2730739315848</v>
      </c>
      <c r="H23" s="39">
        <f>H19+Assumptions!$F$22*Assumptions!$F$26</f>
        <v>8331.6971517464826</v>
      </c>
      <c r="I23" s="39">
        <f>I19+Assumptions!$F$22*Assumptions!$F$26</f>
        <v>8413.001081558079</v>
      </c>
      <c r="J23" s="39">
        <f>J19+Assumptions!$F$22*Assumptions!$F$26</f>
        <v>8495.1944890849045</v>
      </c>
      <c r="K23" s="39">
        <f>K19+Assumptions!$F$22*Assumptions!$F$26</f>
        <v>8578.2871053523577</v>
      </c>
      <c r="L23" s="39">
        <f>L19+Assumptions!$F$22*Assumptions!$F$26</f>
        <v>8662.2887678447732</v>
      </c>
      <c r="M23" s="39">
        <f>M19+Assumptions!$F$22*Assumptions!$F$26</f>
        <v>8747.2094216701098</v>
      </c>
      <c r="N23" s="39">
        <f>N19+Assumptions!$F$22*Assumptions!$F$26</f>
        <v>8833.0591207373582</v>
      </c>
      <c r="O23" s="39">
        <f>O19+Assumptions!$F$22*Assumptions!$F$26</f>
        <v>8919.8480289468534</v>
      </c>
      <c r="P23" s="39">
        <f>P19+Assumptions!$F$22*Assumptions!$F$26</f>
        <v>9007.586421393582</v>
      </c>
      <c r="Q23" s="39">
        <f>Q19+Assumptions!$F$22*Assumptions!$F$26</f>
        <v>9096.2846855836833</v>
      </c>
      <c r="R23" s="39">
        <f>R19+Assumptions!$F$22*Assumptions!$F$26</f>
        <v>9185.9533226642397</v>
      </c>
      <c r="S23" s="39">
        <f>S19+Assumptions!$F$22*Assumptions!$F$26</f>
        <v>9276.6029486665248</v>
      </c>
      <c r="T23" s="39">
        <f>T19+Assumptions!$F$22*Assumptions!$F$26</f>
        <v>9368.2442957628537</v>
      </c>
      <c r="U23" s="39">
        <f>U19+Assumptions!$F$22*Assumptions!$F$26</f>
        <v>9460.8882135371878</v>
      </c>
      <c r="V23" s="39">
        <f>V19+Assumptions!$F$22*Assumptions!$F$26</f>
        <v>9554.5456702696374</v>
      </c>
    </row>
    <row r="24" spans="2:22" x14ac:dyDescent="0.15">
      <c r="B24" s="64" t="s">
        <v>310</v>
      </c>
      <c r="C24" s="39">
        <f>MAX((Assumptions!$F$97*(Assumptions!$F$20+Assumptions!$F$23)*(1+Assumptions!$F$49)^C10),C19+(Assumptions!$F$23*(1+IF(C8&gt;=Assumptions!$F$99,Assumptions!$F$100,0))))</f>
        <v>6738.1863905350237</v>
      </c>
      <c r="D24" s="39">
        <f>MAX((Assumptions!$F$97*(Assumptions!$F$20+Assumptions!$F$23)*(1+Assumptions!$F$49)^D10),D19+(Assumptions!$F$23*(1+IF(D8&gt;=Assumptions!$F$99,Assumptions!$F$100,0))))</f>
        <v>6815.1852510392528</v>
      </c>
      <c r="E24" s="39">
        <f>MAX((Assumptions!$F$97*(Assumptions!$F$20+Assumptions!$F$23)*(1+Assumptions!$F$49)^E10),E19+(Assumptions!$F$23*(1+IF(E8&gt;=Assumptions!$F$99,Assumptions!$F$100,0))))</f>
        <v>6893.0264911267959</v>
      </c>
      <c r="F24" s="39">
        <f>MAX((Assumptions!$F$97*(Assumptions!$F$20+Assumptions!$F$23)*(1+Assumptions!$F$49)^F10),F19+(Assumptions!$F$23*(1+IF(F8&gt;=Assumptions!$F$99,Assumptions!$F$100,0))))</f>
        <v>6971.7193265621154</v>
      </c>
      <c r="G24" s="39">
        <f>MAX((Assumptions!$F$97*(Assumptions!$F$20+Assumptions!$F$23)*(1+Assumptions!$F$49)^G10),G19+(Assumptions!$F$23*(1+IF(G8&gt;=Assumptions!$F$99,Assumptions!$F$100,0))))</f>
        <v>7051.2730739315848</v>
      </c>
      <c r="H24" s="39">
        <f>MAX((Assumptions!$F$97*(Assumptions!$F$20+Assumptions!$F$23)*(1+Assumptions!$F$49)^H10),H19+(Assumptions!$F$23*(1+IF(H8&gt;=Assumptions!$F$99,Assumptions!$F$100,0))))</f>
        <v>7131.6971517464826</v>
      </c>
      <c r="I24" s="39">
        <f>MAX((Assumptions!$F$97*(Assumptions!$F$20+Assumptions!$F$23)*(1+Assumptions!$F$49)^I10),I19+(Assumptions!$F$23*(1+IF(I8&gt;=Assumptions!$F$99,Assumptions!$F$100,0))))</f>
        <v>7213.0010815580799</v>
      </c>
      <c r="J24" s="39">
        <f>MAX((Assumptions!$F$97*(Assumptions!$F$20+Assumptions!$F$23)*(1+Assumptions!$F$49)^J10),J19+(Assumptions!$F$23*(1+IF(J8&gt;=Assumptions!$F$99,Assumptions!$F$100,0))))</f>
        <v>7295.1944890849054</v>
      </c>
      <c r="K24" s="39">
        <f>MAX((Assumptions!$F$97*(Assumptions!$F$20+Assumptions!$F$23)*(1+Assumptions!$F$49)^K10),K19+(Assumptions!$F$23*(1+IF(K8&gt;=Assumptions!$F$99,Assumptions!$F$100,0))))</f>
        <v>7408.2871053523577</v>
      </c>
      <c r="L24" s="39">
        <f>MAX((Assumptions!$F$97*(Assumptions!$F$20+Assumptions!$F$23)*(1+Assumptions!$F$49)^L10),L19+(Assumptions!$F$23*(1+IF(L8&gt;=Assumptions!$F$99,Assumptions!$F$100,0))))</f>
        <v>7492.2887678447732</v>
      </c>
      <c r="M24" s="39">
        <f>MAX((Assumptions!$F$97*(Assumptions!$F$20+Assumptions!$F$23)*(1+Assumptions!$F$49)^M10),M19+(Assumptions!$F$23*(1+IF(M8&gt;=Assumptions!$F$99,Assumptions!$F$100,0))))</f>
        <v>7577.2094216701098</v>
      </c>
      <c r="N24" s="39">
        <f>MAX((Assumptions!$F$97*(Assumptions!$F$20+Assumptions!$F$23)*(1+Assumptions!$F$49)^N10),N19+(Assumptions!$F$23*(1+IF(N8&gt;=Assumptions!$F$99,Assumptions!$F$100,0))))</f>
        <v>7663.0591207373591</v>
      </c>
      <c r="O24" s="39">
        <f>MAX((Assumptions!$F$97*(Assumptions!$F$20+Assumptions!$F$23)*(1+Assumptions!$F$49)^O10),O19+(Assumptions!$F$23*(1+IF(O8&gt;=Assumptions!$F$99,Assumptions!$F$100,0))))</f>
        <v>7749.8480289468525</v>
      </c>
      <c r="P24" s="39">
        <f>MAX((Assumptions!$F$97*(Assumptions!$F$20+Assumptions!$F$23)*(1+Assumptions!$F$49)^P10),P19+(Assumptions!$F$23*(1+IF(P8&gt;=Assumptions!$F$99,Assumptions!$F$100,0))))</f>
        <v>7837.5864213935811</v>
      </c>
      <c r="Q24" s="39">
        <f>MAX((Assumptions!$F$97*(Assumptions!$F$20+Assumptions!$F$23)*(1+Assumptions!$F$49)^Q10),Q19+(Assumptions!$F$23*(1+IF(Q8&gt;=Assumptions!$F$99,Assumptions!$F$100,0))))</f>
        <v>7926.2846855836833</v>
      </c>
      <c r="R24" s="39">
        <f>MAX((Assumptions!$F$97*(Assumptions!$F$20+Assumptions!$F$23)*(1+Assumptions!$F$49)^R10),R19+(Assumptions!$F$23*(1+IF(R8&gt;=Assumptions!$F$99,Assumptions!$F$100,0))))</f>
        <v>8015.9533226642397</v>
      </c>
      <c r="S24" s="39">
        <f>MAX((Assumptions!$F$97*(Assumptions!$F$20+Assumptions!$F$23)*(1+Assumptions!$F$49)^S10),S19+(Assumptions!$F$23*(1+IF(S8&gt;=Assumptions!$F$99,Assumptions!$F$100,0))))</f>
        <v>8106.6029486665248</v>
      </c>
      <c r="T24" s="39">
        <f>MAX((Assumptions!$F$97*(Assumptions!$F$20+Assumptions!$F$23)*(1+Assumptions!$F$49)^T10),T19+(Assumptions!$F$23*(1+IF(T8&gt;=Assumptions!$F$99,Assumptions!$F$100,0))))</f>
        <v>8198.2442957628537</v>
      </c>
      <c r="U24" s="39">
        <f>MAX((Assumptions!$F$97*(Assumptions!$F$20+Assumptions!$F$23)*(1+Assumptions!$F$49)^U10),U19+(Assumptions!$F$23*(1+IF(U8&gt;=Assumptions!$F$99,Assumptions!$F$100,0))))</f>
        <v>8290.8882135371878</v>
      </c>
      <c r="V24" s="39">
        <f>MAX((Assumptions!$F$97*(Assumptions!$F$20+Assumptions!$F$23)*(1+Assumptions!$F$49)^V10),V19+(Assumptions!$F$23*(1+IF(V8&gt;=Assumptions!$F$99,Assumptions!$F$100,0))))</f>
        <v>8384.5456702696374</v>
      </c>
    </row>
    <row r="25" spans="2:22" x14ac:dyDescent="0.15">
      <c r="B25" s="64" t="s">
        <v>311</v>
      </c>
      <c r="C25" s="39">
        <f>C19+Assumptions!$F$23*Assumptions!$F$26</f>
        <v>6888.1863905350237</v>
      </c>
      <c r="D25" s="39">
        <f>D19+Assumptions!$F$23*Assumptions!$F$26</f>
        <v>6965.1852510392528</v>
      </c>
      <c r="E25" s="39">
        <f>E19+Assumptions!$F$23*Assumptions!$F$26</f>
        <v>7043.0264911267959</v>
      </c>
      <c r="F25" s="39">
        <f>F19+Assumptions!$F$23*Assumptions!$F$26</f>
        <v>7121.7193265621154</v>
      </c>
      <c r="G25" s="39">
        <f>G19+Assumptions!$F$23*Assumptions!$F$26</f>
        <v>7201.2730739315848</v>
      </c>
      <c r="H25" s="39">
        <f>H19+Assumptions!$F$23*Assumptions!$F$26</f>
        <v>7281.6971517464826</v>
      </c>
      <c r="I25" s="39">
        <f>I19+Assumptions!$F$23*Assumptions!$F$26</f>
        <v>7363.0010815580799</v>
      </c>
      <c r="J25" s="39">
        <f>J19+Assumptions!$F$23*Assumptions!$F$26</f>
        <v>7445.1944890849054</v>
      </c>
      <c r="K25" s="39">
        <f>K19+Assumptions!$F$23*Assumptions!$F$26</f>
        <v>7528.2871053523577</v>
      </c>
      <c r="L25" s="39">
        <f>L19+Assumptions!$F$23*Assumptions!$F$26</f>
        <v>7612.2887678447732</v>
      </c>
      <c r="M25" s="39">
        <f>M19+Assumptions!$F$23*Assumptions!$F$26</f>
        <v>7697.2094216701098</v>
      </c>
      <c r="N25" s="39">
        <f>N19+Assumptions!$F$23*Assumptions!$F$26</f>
        <v>7783.0591207373591</v>
      </c>
      <c r="O25" s="39">
        <f>O19+Assumptions!$F$23*Assumptions!$F$26</f>
        <v>7869.8480289468525</v>
      </c>
      <c r="P25" s="39">
        <f>P19+Assumptions!$F$23*Assumptions!$F$26</f>
        <v>7957.5864213935811</v>
      </c>
      <c r="Q25" s="39">
        <f>Q19+Assumptions!$F$23*Assumptions!$F$26</f>
        <v>8046.2846855836833</v>
      </c>
      <c r="R25" s="39">
        <f>R19+Assumptions!$F$23*Assumptions!$F$26</f>
        <v>8135.9533226642397</v>
      </c>
      <c r="S25" s="39">
        <f>S19+Assumptions!$F$23*Assumptions!$F$26</f>
        <v>8226.6029486665248</v>
      </c>
      <c r="T25" s="39">
        <f>T19+Assumptions!$F$23*Assumptions!$F$26</f>
        <v>8318.2442957628537</v>
      </c>
      <c r="U25" s="39">
        <f>U19+Assumptions!$F$23*Assumptions!$F$26</f>
        <v>8410.8882135371878</v>
      </c>
      <c r="V25" s="39">
        <f>V19+Assumptions!$F$23*Assumptions!$F$26</f>
        <v>8504.5456702696374</v>
      </c>
    </row>
    <row r="26" spans="2:22" x14ac:dyDescent="0.15">
      <c r="B26" s="8" t="s">
        <v>312</v>
      </c>
      <c r="C26" s="39">
        <f>(MAX((C15*Assumptions!$F$24),((Assumptions!$F$9/2*Assumptions!$F$13)*Assumptions!$F$15*Assumptions!$F$24*Assumptions!$F$98)))*C20+((C15*Assumptions!$F$25))*C21</f>
        <v>15206929.737874905</v>
      </c>
      <c r="D26" s="39">
        <f>(MAX((D15*Assumptions!$F$24),((Assumptions!$F$9/2*Assumptions!$F$13)*Assumptions!$F$15*Assumptions!$F$24*Assumptions!$F$98)))*D20+((D15*Assumptions!$F$25))*D21</f>
        <v>16707860.813771483</v>
      </c>
      <c r="E26" s="39">
        <f>(MAX((E15*Assumptions!$F$24),((Assumptions!$F$9/2*Assumptions!$F$13)*Assumptions!$F$15*Assumptions!$F$24*Assumptions!$F$98)))*E20+((E15*Assumptions!$F$25))*E21</f>
        <v>16957151.44608853</v>
      </c>
      <c r="F26" s="39">
        <f>(MAX((F15*Assumptions!$F$24),((Assumptions!$F$9/2*Assumptions!$F$13)*Assumptions!$F$15*Assumptions!$F$24*Assumptions!$F$98)))*F20+((F15*Assumptions!$F$25))*F21</f>
        <v>17133738.168805387</v>
      </c>
      <c r="G26" s="39">
        <f>(MAX((G15*Assumptions!$F$24),((Assumptions!$F$9/2*Assumptions!$F$13)*Assumptions!$F$15*Assumptions!$F$24*Assumptions!$F$98)))*G20+((G15*Assumptions!$F$25))*G21</f>
        <v>18680559.021599263</v>
      </c>
      <c r="H26" s="39">
        <f>(MAX((H15*Assumptions!$F$24),((Assumptions!$F$9/2*Assumptions!$F$13)*Assumptions!$F$15*Assumptions!$F$24*Assumptions!$F$98)))*H20+((H15*Assumptions!$F$25))*H21</f>
        <v>18875386.350105856</v>
      </c>
      <c r="I26" s="39">
        <f>(MAX((I15*Assumptions!$F$24),((Assumptions!$F$9/2*Assumptions!$F$13)*Assumptions!$F$15*Assumptions!$F$24*Assumptions!$F$98)))*I20+((I15*Assumptions!$F$25))*I21</f>
        <v>19072345.120074447</v>
      </c>
      <c r="J26" s="39">
        <f>(MAX((J15*Assumptions!$F$24),((Assumptions!$F$9/2*Assumptions!$F$13)*Assumptions!$F$15*Assumptions!$F$24*Assumptions!$F$98)))*J20+((J15*Assumptions!$F$25))*J21</f>
        <v>19271458.649808183</v>
      </c>
      <c r="K26" s="39">
        <f>(MAX((K15*Assumptions!$F$24),((Assumptions!$F$9/2*Assumptions!$F$13)*Assumptions!$F$15*Assumptions!$F$24*Assumptions!$F$98)))*K20+((K15*Assumptions!$F$25))*K21</f>
        <v>19395230.512716085</v>
      </c>
      <c r="L26" s="39">
        <f>(MAX((L15*Assumptions!$F$24),((Assumptions!$F$9/2*Assumptions!$F$13)*Assumptions!$F$15*Assumptions!$F$24*Assumptions!$F$98)))*L20+((L15*Assumptions!$F$25))*L21</f>
        <v>19598724.540103965</v>
      </c>
      <c r="M26" s="39">
        <f>(MAX((M15*Assumptions!$F$24),((Assumptions!$F$9/2*Assumptions!$F$13)*Assumptions!$F$15*Assumptions!$F$24*Assumptions!$F$98)))*M20+((M15*Assumptions!$F$25))*M21</f>
        <v>19804444.82399584</v>
      </c>
      <c r="N26" s="39">
        <f>(MAX((N15*Assumptions!$F$24),((Assumptions!$F$9/2*Assumptions!$F$13)*Assumptions!$F$15*Assumptions!$F$24*Assumptions!$F$98)))*N20+((N15*Assumptions!$F$25))*N21</f>
        <v>20012415.719986252</v>
      </c>
      <c r="O26" s="39">
        <f>(MAX((O15*Assumptions!$F$24),((Assumptions!$F$9/2*Assumptions!$F$13)*Assumptions!$F$15*Assumptions!$F$24*Assumptions!$F$98)))*O20+((O15*Assumptions!$F$25))*O21</f>
        <v>20222661.850123752</v>
      </c>
      <c r="P26" s="39">
        <f>(MAX((P15*Assumptions!$F$24),((Assumptions!$F$9/2*Assumptions!$F$13)*Assumptions!$F$15*Assumptions!$F$24*Assumptions!$F$98)))*P20+((P15*Assumptions!$F$25))*P21</f>
        <v>20435208.105825953</v>
      </c>
      <c r="Q26" s="39">
        <f>(MAX((Q15*Assumptions!$F$24),((Assumptions!$F$9/2*Assumptions!$F$13)*Assumptions!$F$15*Assumptions!$F$24*Assumptions!$F$98)))*Q20+((Q15*Assumptions!$F$25))*Q21</f>
        <v>20650079.650826473</v>
      </c>
      <c r="R26" s="39">
        <f>(MAX((R15*Assumptions!$F$24),((Assumptions!$F$9/2*Assumptions!$F$13)*Assumptions!$F$15*Assumptions!$F$24*Assumptions!$F$98)))*R20+((R15*Assumptions!$F$25))*R21</f>
        <v>20867301.924154121</v>
      </c>
      <c r="S26" s="39">
        <f>(MAX((S15*Assumptions!$F$24),((Assumptions!$F$9/2*Assumptions!$F$13)*Assumptions!$F$15*Assumptions!$F$24*Assumptions!$F$98)))*S20+((S15*Assumptions!$F$25))*S21</f>
        <v>21086900.643144656</v>
      </c>
      <c r="T26" s="39">
        <f>(MAX((T15*Assumptions!$F$24),((Assumptions!$F$9/2*Assumptions!$F$13)*Assumptions!$F$15*Assumptions!$F$24*Assumptions!$F$98)))*T20+((T15*Assumptions!$F$25))*T21</f>
        <v>21308901.806485511</v>
      </c>
      <c r="U26" s="39">
        <f>(MAX((U15*Assumptions!$F$24),((Assumptions!$F$9/2*Assumptions!$F$13)*Assumptions!$F$15*Assumptions!$F$24*Assumptions!$F$98)))*U20+((U15*Assumptions!$F$25))*U21</f>
        <v>21533331.697293837</v>
      </c>
      <c r="V26" s="39">
        <f>(MAX((V15*Assumptions!$F$24),((Assumptions!$F$9/2*Assumptions!$F$13)*Assumptions!$F$15*Assumptions!$F$24*Assumptions!$F$98)))*V20+((V15*Assumptions!$F$25))*V21</f>
        <v>21760216.886228196</v>
      </c>
    </row>
    <row r="27" spans="2:22" x14ac:dyDescent="0.15">
      <c r="B27" s="8" t="s">
        <v>313</v>
      </c>
      <c r="C27" s="39">
        <f>(MAX((C16*Assumptions!$F$24),((Assumptions!$F$9/2*Assumptions!$F$13)*Assumptions!$F$16*Assumptions!$F$24*Assumptions!$F$98)))*C22+((C16*Assumptions!$F$25))*C23</f>
        <v>13445452.303406179</v>
      </c>
      <c r="D27" s="39">
        <f>(MAX((D16*Assumptions!$F$24),((Assumptions!$F$9/2*Assumptions!$F$13)*Assumptions!$F$16*Assumptions!$F$24*Assumptions!$F$98)))*D22+((D16*Assumptions!$F$25))*D23</f>
        <v>14667540.610328613</v>
      </c>
      <c r="E27" s="39">
        <f>(MAX((E16*Assumptions!$F$24),((Assumptions!$F$9/2*Assumptions!$F$13)*Assumptions!$F$16*Assumptions!$F$24*Assumptions!$F$98)))*E22+((E16*Assumptions!$F$25))*E23</f>
        <v>14859863.584566396</v>
      </c>
      <c r="F27" s="39">
        <f>(MAX((F16*Assumptions!$F$24),((Assumptions!$F$9/2*Assumptions!$F$13)*Assumptions!$F$16*Assumptions!$F$24*Assumptions!$F$98)))*F22+((F16*Assumptions!$F$25))*F23</f>
        <v>14992303.626604039</v>
      </c>
      <c r="G27" s="39">
        <f>(MAX((G16*Assumptions!$F$24),((Assumptions!$F$9/2*Assumptions!$F$13)*Assumptions!$F$16*Assumptions!$F$24*Assumptions!$F$98)))*G22+((G16*Assumptions!$F$25))*G23</f>
        <v>16299681.766199449</v>
      </c>
      <c r="H27" s="39">
        <f>(MAX((H16*Assumptions!$F$24),((Assumptions!$F$9/2*Assumptions!$F$13)*Assumptions!$F$16*Assumptions!$F$24*Assumptions!$F$98)))*H22+((H16*Assumptions!$F$25))*H23</f>
        <v>16445802.262579391</v>
      </c>
      <c r="I27" s="39">
        <f>(MAX((I16*Assumptions!$F$24),((Assumptions!$F$9/2*Assumptions!$F$13)*Assumptions!$F$16*Assumptions!$F$24*Assumptions!$F$98)))*I22+((I16*Assumptions!$F$25))*I23</f>
        <v>16593521.340055836</v>
      </c>
      <c r="J27" s="39">
        <f>(MAX((J16*Assumptions!$F$24),((Assumptions!$F$9/2*Assumptions!$F$13)*Assumptions!$F$16*Assumptions!$F$24*Assumptions!$F$98)))*J22+((J16*Assumptions!$F$25))*J23</f>
        <v>16742856.487356136</v>
      </c>
      <c r="K27" s="39">
        <f>(MAX((K16*Assumptions!$F$24),((Assumptions!$F$9/2*Assumptions!$F$13)*Assumptions!$F$16*Assumptions!$F$24*Assumptions!$F$98)))*K22+((K16*Assumptions!$F$25))*K23</f>
        <v>16632195.384537065</v>
      </c>
      <c r="L27" s="39">
        <f>(MAX((L16*Assumptions!$F$24),((Assumptions!$F$9/2*Assumptions!$F$13)*Assumptions!$F$16*Assumptions!$F$24*Assumptions!$F$98)))*L22+((L16*Assumptions!$F$25))*L23</f>
        <v>16784815.905077972</v>
      </c>
      <c r="M27" s="39">
        <f>(MAX((M16*Assumptions!$F$24),((Assumptions!$F$9/2*Assumptions!$F$13)*Assumptions!$F$16*Assumptions!$F$24*Assumptions!$F$98)))*M22+((M16*Assumptions!$F$25))*M23</f>
        <v>16939106.117996879</v>
      </c>
      <c r="N27" s="39">
        <f>(MAX((N16*Assumptions!$F$24),((Assumptions!$F$9/2*Assumptions!$F$13)*Assumptions!$F$16*Assumptions!$F$24*Assumptions!$F$98)))*N22+((N16*Assumptions!$F$25))*N23</f>
        <v>17095084.289989688</v>
      </c>
      <c r="O27" s="39">
        <f>(MAX((O16*Assumptions!$F$24),((Assumptions!$F$9/2*Assumptions!$F$13)*Assumptions!$F$16*Assumptions!$F$24*Assumptions!$F$98)))*O22+((O16*Assumptions!$F$25))*O23</f>
        <v>17252768.887592815</v>
      </c>
      <c r="P27" s="39">
        <f>(MAX((P16*Assumptions!$F$24),((Assumptions!$F$9/2*Assumptions!$F$13)*Assumptions!$F$16*Assumptions!$F$24*Assumptions!$F$98)))*P22+((P16*Assumptions!$F$25))*P23</f>
        <v>17412178.579369463</v>
      </c>
      <c r="Q27" s="39">
        <f>(MAX((Q16*Assumptions!$F$24),((Assumptions!$F$9/2*Assumptions!$F$13)*Assumptions!$F$16*Assumptions!$F$24*Assumptions!$F$98)))*Q22+((Q16*Assumptions!$F$25))*Q23</f>
        <v>17573332.238119856</v>
      </c>
      <c r="R27" s="39">
        <f>(MAX((R16*Assumptions!$F$24),((Assumptions!$F$9/2*Assumptions!$F$13)*Assumptions!$F$16*Assumptions!$F$24*Assumptions!$F$98)))*R22+((R16*Assumptions!$F$25))*R23</f>
        <v>17736248.943115592</v>
      </c>
      <c r="S27" s="39">
        <f>(MAX((S16*Assumptions!$F$24),((Assumptions!$F$9/2*Assumptions!$F$13)*Assumptions!$F$16*Assumptions!$F$24*Assumptions!$F$98)))*S22+((S16*Assumptions!$F$25))*S23</f>
        <v>17900947.982358493</v>
      </c>
      <c r="T27" s="39">
        <f>(MAX((T16*Assumptions!$F$24),((Assumptions!$F$9/2*Assumptions!$F$13)*Assumptions!$F$16*Assumptions!$F$24*Assumptions!$F$98)))*T22+((T16*Assumptions!$F$25))*T23</f>
        <v>18067448.854864135</v>
      </c>
      <c r="U27" s="39">
        <f>(MAX((U16*Assumptions!$F$24),((Assumptions!$F$9/2*Assumptions!$F$13)*Assumptions!$F$16*Assumptions!$F$24*Assumptions!$F$98)))*U22+((U16*Assumptions!$F$25))*U23</f>
        <v>18235771.272970378</v>
      </c>
      <c r="V27" s="39">
        <f>(MAX((V16*Assumptions!$F$24),((Assumptions!$F$9/2*Assumptions!$F$13)*Assumptions!$F$16*Assumptions!$F$24*Assumptions!$F$98)))*V22+((V16*Assumptions!$F$25))*V23</f>
        <v>18405935.164671145</v>
      </c>
    </row>
    <row r="28" spans="2:22" x14ac:dyDescent="0.15">
      <c r="B28" s="8" t="s">
        <v>314</v>
      </c>
      <c r="C28" s="39">
        <f>(MAX((C17*Assumptions!$F$24),((Assumptions!$F$9/2*Assumptions!$F$13)*Assumptions!$F$17*Assumptions!$F$24*Assumptions!$F$98)))*C24+((C17*Assumptions!$F$25))*C25</f>
        <v>10385069.803406179</v>
      </c>
      <c r="D28" s="39">
        <f>(MAX((D17*Assumptions!$F$24),((Assumptions!$F$9/2*Assumptions!$F$13)*Assumptions!$F$17*Assumptions!$F$24*Assumptions!$F$98)))*D24+((D17*Assumptions!$F$25))*D25</f>
        <v>11462573.110328613</v>
      </c>
      <c r="E28" s="39">
        <f>(MAX((E17*Assumptions!$F$24),((Assumptions!$F$9/2*Assumptions!$F$13)*Assumptions!$F$17*Assumptions!$F$24*Assumptions!$F$98)))*E24+((E17*Assumptions!$F$25))*E25</f>
        <v>11646863.584566398</v>
      </c>
      <c r="F28" s="39">
        <f>(MAX((F17*Assumptions!$F$24),((Assumptions!$F$9/2*Assumptions!$F$13)*Assumptions!$F$17*Assumptions!$F$24*Assumptions!$F$98)))*F24+((F17*Assumptions!$F$25))*F25</f>
        <v>11779303.626604039</v>
      </c>
      <c r="G28" s="39">
        <f>(MAX((G17*Assumptions!$F$24),((Assumptions!$F$9/2*Assumptions!$F$13)*Assumptions!$F$17*Assumptions!$F$24*Assumptions!$F$98)))*G24+((G17*Assumptions!$F$25))*G25</f>
        <v>12865788.016199449</v>
      </c>
      <c r="H28" s="39">
        <f>(MAX((H17*Assumptions!$F$24),((Assumptions!$F$9/2*Assumptions!$F$13)*Assumptions!$F$17*Assumptions!$F$24*Assumptions!$F$98)))*H24+((H17*Assumptions!$F$25))*H25</f>
        <v>13011908.512579391</v>
      </c>
      <c r="I28" s="39">
        <f>(MAX((I17*Assumptions!$F$24),((Assumptions!$F$9/2*Assumptions!$F$13)*Assumptions!$F$17*Assumptions!$F$24*Assumptions!$F$98)))*I24+((I17*Assumptions!$F$25))*I25</f>
        <v>13159627.590055836</v>
      </c>
      <c r="J28" s="39">
        <f>(MAX((J17*Assumptions!$F$24),((Assumptions!$F$9/2*Assumptions!$F$13)*Assumptions!$F$17*Assumptions!$F$24*Assumptions!$F$98)))*J24+((J17*Assumptions!$F$25))*J25</f>
        <v>13308962.737356137</v>
      </c>
      <c r="K28" s="39">
        <f>(MAX((K17*Assumptions!$F$24),((Assumptions!$F$9/2*Assumptions!$F$13)*Assumptions!$F$17*Assumptions!$F$24*Assumptions!$F$98)))*K24+((K17*Assumptions!$F$25))*K25</f>
        <v>13503536.634537065</v>
      </c>
      <c r="L28" s="39">
        <f>(MAX((L17*Assumptions!$F$24),((Assumptions!$F$9/2*Assumptions!$F$13)*Assumptions!$F$17*Assumptions!$F$24*Assumptions!$F$98)))*L24+((L17*Assumptions!$F$25))*L25</f>
        <v>13656157.155077972</v>
      </c>
      <c r="M28" s="39">
        <f>(MAX((M17*Assumptions!$F$24),((Assumptions!$F$9/2*Assumptions!$F$13)*Assumptions!$F$17*Assumptions!$F$24*Assumptions!$F$98)))*M24+((M17*Assumptions!$F$25))*M25</f>
        <v>13810447.367996881</v>
      </c>
      <c r="N28" s="39">
        <f>(MAX((N17*Assumptions!$F$24),((Assumptions!$F$9/2*Assumptions!$F$13)*Assumptions!$F$17*Assumptions!$F$24*Assumptions!$F$98)))*N24+((N17*Assumptions!$F$25))*N25</f>
        <v>13966425.539989691</v>
      </c>
      <c r="O28" s="39">
        <f>(MAX((O17*Assumptions!$F$24),((Assumptions!$F$9/2*Assumptions!$F$13)*Assumptions!$F$17*Assumptions!$F$24*Assumptions!$F$98)))*O24+((O17*Assumptions!$F$25))*O25</f>
        <v>14124110.137592813</v>
      </c>
      <c r="P28" s="39">
        <f>(MAX((P17*Assumptions!$F$24),((Assumptions!$F$9/2*Assumptions!$F$13)*Assumptions!$F$17*Assumptions!$F$24*Assumptions!$F$98)))*P24+((P17*Assumptions!$F$25))*P25</f>
        <v>14283519.829369463</v>
      </c>
      <c r="Q28" s="39">
        <f>(MAX((Q17*Assumptions!$F$24),((Assumptions!$F$9/2*Assumptions!$F$13)*Assumptions!$F$17*Assumptions!$F$24*Assumptions!$F$98)))*Q24+((Q17*Assumptions!$F$25))*Q25</f>
        <v>14444673.488119856</v>
      </c>
      <c r="R28" s="39">
        <f>(MAX((R17*Assumptions!$F$24),((Assumptions!$F$9/2*Assumptions!$F$13)*Assumptions!$F$17*Assumptions!$F$24*Assumptions!$F$98)))*R24+((R17*Assumptions!$F$25))*R25</f>
        <v>14607590.193115592</v>
      </c>
      <c r="S28" s="39">
        <f>(MAX((S17*Assumptions!$F$24),((Assumptions!$F$9/2*Assumptions!$F$13)*Assumptions!$F$17*Assumptions!$F$24*Assumptions!$F$98)))*S24+((S17*Assumptions!$F$25))*S25</f>
        <v>14772289.232358493</v>
      </c>
      <c r="T28" s="39">
        <f>(MAX((T17*Assumptions!$F$24),((Assumptions!$F$9/2*Assumptions!$F$13)*Assumptions!$F$17*Assumptions!$F$24*Assumptions!$F$98)))*T24+((T17*Assumptions!$F$25))*T25</f>
        <v>14938790.104864135</v>
      </c>
      <c r="U28" s="39">
        <f>(MAX((U17*Assumptions!$F$24),((Assumptions!$F$9/2*Assumptions!$F$13)*Assumptions!$F$17*Assumptions!$F$24*Assumptions!$F$98)))*U24+((U17*Assumptions!$F$25))*U25</f>
        <v>15107112.522970378</v>
      </c>
      <c r="V28" s="39">
        <f>(MAX((V17*Assumptions!$F$24),((Assumptions!$F$9/2*Assumptions!$F$13)*Assumptions!$F$17*Assumptions!$F$24*Assumptions!$F$98)))*V24+((V17*Assumptions!$F$25))*V25</f>
        <v>15277276.414671147</v>
      </c>
    </row>
    <row r="29" spans="2:22" x14ac:dyDescent="0.15">
      <c r="B29" s="41" t="s">
        <v>315</v>
      </c>
      <c r="C29" s="18">
        <f t="shared" ref="C29:V29" si="0">SUM(C26:C28)</f>
        <v>39037451.844687261</v>
      </c>
      <c r="D29" s="18">
        <f t="shared" si="0"/>
        <v>42837974.534428708</v>
      </c>
      <c r="E29" s="18">
        <f t="shared" si="0"/>
        <v>43463878.615221322</v>
      </c>
      <c r="F29" s="18">
        <f t="shared" si="0"/>
        <v>43905345.422013462</v>
      </c>
      <c r="G29" s="18">
        <f t="shared" si="0"/>
        <v>47846028.803998157</v>
      </c>
      <c r="H29" s="18">
        <f t="shared" si="0"/>
        <v>48333097.125264637</v>
      </c>
      <c r="I29" s="18">
        <f>SUM(I26:I28)</f>
        <v>48825494.05018612</v>
      </c>
      <c r="J29" s="18">
        <f t="shared" si="0"/>
        <v>49323277.874520451</v>
      </c>
      <c r="K29" s="18">
        <f t="shared" si="0"/>
        <v>49530962.531790212</v>
      </c>
      <c r="L29" s="18">
        <f t="shared" si="0"/>
        <v>50039697.600259908</v>
      </c>
      <c r="M29" s="18">
        <f t="shared" si="0"/>
        <v>50553998.309989594</v>
      </c>
      <c r="N29" s="18">
        <f t="shared" si="0"/>
        <v>51073925.549965635</v>
      </c>
      <c r="O29" s="18">
        <f t="shared" si="0"/>
        <v>51599540.875309385</v>
      </c>
      <c r="P29" s="18">
        <f t="shared" si="0"/>
        <v>52130906.514564879</v>
      </c>
      <c r="Q29" s="18">
        <f t="shared" si="0"/>
        <v>52668085.37706618</v>
      </c>
      <c r="R29" s="18">
        <f t="shared" si="0"/>
        <v>53211141.060385302</v>
      </c>
      <c r="S29" s="18">
        <f t="shared" si="0"/>
        <v>53760137.857861646</v>
      </c>
      <c r="T29" s="18">
        <f t="shared" si="0"/>
        <v>54315140.766213782</v>
      </c>
      <c r="U29" s="18">
        <f t="shared" si="0"/>
        <v>54876215.49323459</v>
      </c>
      <c r="V29" s="18">
        <f>SUM(V26:V28)</f>
        <v>55443428.465570487</v>
      </c>
    </row>
    <row r="30" spans="2:22" x14ac:dyDescent="0.15">
      <c r="B30" s="54" t="s">
        <v>316</v>
      </c>
      <c r="C30" s="54"/>
      <c r="D30" s="54"/>
      <c r="E30" s="54"/>
      <c r="F30" s="54"/>
      <c r="G30" s="54"/>
      <c r="H30" s="54"/>
      <c r="I30" s="54"/>
      <c r="J30" s="54"/>
      <c r="K30" s="54"/>
      <c r="L30" s="54"/>
      <c r="M30" s="54"/>
      <c r="N30" s="54"/>
      <c r="O30" s="54"/>
      <c r="P30" s="54"/>
      <c r="Q30" s="54"/>
      <c r="R30" s="54"/>
      <c r="S30" s="54"/>
      <c r="T30" s="54"/>
      <c r="U30" s="54"/>
      <c r="V30" s="54"/>
    </row>
    <row r="31" spans="2:22" x14ac:dyDescent="0.15">
      <c r="B31" s="8" t="s">
        <v>317</v>
      </c>
      <c r="C31" s="37">
        <f>C14*Assumptions!$F$14</f>
        <v>3150</v>
      </c>
      <c r="D31" s="37">
        <f>D14*Assumptions!$F$14</f>
        <v>5850</v>
      </c>
      <c r="E31" s="37">
        <f>E14*Assumptions!$F$14</f>
        <v>6000</v>
      </c>
      <c r="F31" s="37">
        <f>F14*Assumptions!$F$14</f>
        <v>6000</v>
      </c>
      <c r="G31" s="37">
        <f>G14*Assumptions!$F$14</f>
        <v>7125</v>
      </c>
      <c r="H31" s="37">
        <f>H14*Assumptions!$F$14</f>
        <v>7125</v>
      </c>
      <c r="I31" s="37">
        <f>I14*Assumptions!$F$14</f>
        <v>7125</v>
      </c>
      <c r="J31" s="37">
        <f>J14*Assumptions!$F$14</f>
        <v>7125</v>
      </c>
      <c r="K31" s="37">
        <f>K14*Assumptions!$F$14</f>
        <v>7125</v>
      </c>
      <c r="L31" s="37">
        <f>L14*Assumptions!$F$14</f>
        <v>7125</v>
      </c>
      <c r="M31" s="37">
        <f>M14*Assumptions!$F$14</f>
        <v>7125</v>
      </c>
      <c r="N31" s="37">
        <f>N14*Assumptions!$F$14</f>
        <v>7125</v>
      </c>
      <c r="O31" s="37">
        <f>O14*Assumptions!$F$14</f>
        <v>7125</v>
      </c>
      <c r="P31" s="37">
        <f>P14*Assumptions!$F$14</f>
        <v>7125</v>
      </c>
      <c r="Q31" s="37">
        <f>Q14*Assumptions!$F$14</f>
        <v>7125</v>
      </c>
      <c r="R31" s="37">
        <f>R14*Assumptions!$F$14</f>
        <v>7125</v>
      </c>
      <c r="S31" s="37">
        <f>S14*Assumptions!$F$14</f>
        <v>7125</v>
      </c>
      <c r="T31" s="37">
        <f>T14*Assumptions!$F$14</f>
        <v>7125</v>
      </c>
      <c r="U31" s="37">
        <f>U14*Assumptions!$F$14</f>
        <v>7125</v>
      </c>
      <c r="V31" s="37">
        <f>V14*Assumptions!$F$14</f>
        <v>7125</v>
      </c>
    </row>
    <row r="32" spans="2:22" x14ac:dyDescent="0.15">
      <c r="B32" s="8" t="s">
        <v>318</v>
      </c>
      <c r="C32" s="37">
        <f>Assumptions!$F$29*(1+Assumptions!$F$30)^C10*(1+Assumptions!$F$105*((C19/(Assumptions!$F$20*(1+Assumptions!$F$49)^C10))-1))</f>
        <v>3086.2120341662408</v>
      </c>
      <c r="D32" s="37">
        <f>Assumptions!$F$29*(1+Assumptions!$F$30)^D10*(1+Assumptions!$F$105*((D19/(Assumptions!$F$20*(1+Assumptions!$F$49)^D10))-1))</f>
        <v>3266.1398142474595</v>
      </c>
      <c r="E32" s="37">
        <f>Assumptions!$F$29*(1+Assumptions!$F$30)^E10*(1+Assumptions!$F$105*((E19/(Assumptions!$F$20*(1+Assumptions!$F$49)^E10))-1))</f>
        <v>3456.5574782661902</v>
      </c>
      <c r="F32" s="37">
        <f>Assumptions!$F$29*(1+Assumptions!$F$30)^F10*(1+Assumptions!$F$105*((F19/(Assumptions!$F$20*(1+Assumptions!$F$49)^F10))-1))</f>
        <v>3658.0765919571554</v>
      </c>
      <c r="G32" s="37">
        <f>Assumptions!$F$29*(1+Assumptions!$F$30)^G10*(1+Assumptions!$F$105*((G19/(Assumptions!$F$20*(1+Assumptions!$F$49)^G10))-1))</f>
        <v>3871.3443756581332</v>
      </c>
      <c r="H32" s="37">
        <f>Assumptions!$F$29*(1+Assumptions!$F$30)^H10*(1+Assumptions!$F$105*((H19/(Assumptions!$F$20*(1+Assumptions!$F$49)^H10))-1))</f>
        <v>4097.0457829920142</v>
      </c>
      <c r="I32" s="37">
        <f>Assumptions!$F$29*(1+Assumptions!$F$30)^I10*(1+Assumptions!$F$105*((I19/(Assumptions!$F$20*(1+Assumptions!$F$49)^I10))-1))</f>
        <v>4335.9057007371102</v>
      </c>
      <c r="J32" s="37">
        <f>Assumptions!$F$29*(1+Assumptions!$F$30)^J10*(1+Assumptions!$F$105*((J19/(Assumptions!$F$20*(1+Assumptions!$F$49)^J10))-1))</f>
        <v>4588.6912769510564</v>
      </c>
      <c r="K32" s="37">
        <f>Assumptions!$F$29*(1+Assumptions!$F$30)^K10*(1+Assumptions!$F$105*((K19/(Assumptions!$F$20*(1+Assumptions!$F$49)^K10))-1))</f>
        <v>4856.2143848255637</v>
      </c>
      <c r="L32" s="37">
        <f>Assumptions!$F$29*(1+Assumptions!$F$30)^L10*(1+Assumptions!$F$105*((L19/(Assumptions!$F$20*(1+Assumptions!$F$49)^L10))-1))</f>
        <v>5139.3342301851835</v>
      </c>
      <c r="M32" s="37">
        <f>Assumptions!$F$29*(1+Assumptions!$F$30)^M10*(1+Assumptions!$F$105*((M19/(Assumptions!$F$20*(1+Assumptions!$F$49)^M10))-1))</f>
        <v>5438.9601110046315</v>
      </c>
      <c r="N32" s="37">
        <f>Assumptions!$F$29*(1+Assumptions!$F$30)^N10*(1+Assumptions!$F$105*((N19/(Assumptions!$F$20*(1+Assumptions!$F$49)^N10))-1))</f>
        <v>5756.0543378074062</v>
      </c>
      <c r="O32" s="37">
        <f>Assumptions!$F$29*(1+Assumptions!$F$30)^O10*(1+Assumptions!$F$105*((O19/(Assumptions!$F$20*(1+Assumptions!$F$49)^O10))-1))</f>
        <v>6091.6353243251879</v>
      </c>
      <c r="P32" s="37">
        <f>Assumptions!$F$29*(1+Assumptions!$F$30)^P10*(1+Assumptions!$F$105*((P19/(Assumptions!$F$20*(1+Assumptions!$F$49)^P10))-1))</f>
        <v>6446.7808583442957</v>
      </c>
      <c r="Q32" s="37">
        <f>Assumptions!$F$29*(1+Assumptions!$F$30)^Q10*(1+Assumptions!$F$105*((Q19/(Assumptions!$F$20*(1+Assumptions!$F$49)^Q10))-1))</f>
        <v>6822.631563244212</v>
      </c>
      <c r="R32" s="37">
        <f>Assumptions!$F$29*(1+Assumptions!$F$30)^R10*(1+Assumptions!$F$105*((R19/(Assumptions!$F$20*(1+Assumptions!$F$49)^R10))-1))</f>
        <v>7220.3945613456117</v>
      </c>
      <c r="S32" s="37">
        <f>Assumptions!$F$29*(1+Assumptions!$F$30)^S10*(1+Assumptions!$F$105*((S19/(Assumptions!$F$20*(1+Assumptions!$F$49)^S10))-1))</f>
        <v>7641.3473508335164</v>
      </c>
      <c r="T32" s="37">
        <f>Assumptions!$F$29*(1+Assumptions!$F$30)^T10*(1+Assumptions!$F$105*((T19/(Assumptions!$F$20*(1+Assumptions!$F$49)^T10))-1))</f>
        <v>8086.8419087070852</v>
      </c>
      <c r="U32" s="37">
        <f>Assumptions!$F$29*(1+Assumptions!$F$30)^U10*(1+Assumptions!$F$105*((U19/(Assumptions!$F$20*(1+Assumptions!$F$49)^U10))-1))</f>
        <v>8558.3090329335391</v>
      </c>
      <c r="V32" s="37">
        <f>Assumptions!$F$29*(1+Assumptions!$F$30)^V10*(1+Assumptions!$F$105*((V19/(Assumptions!$F$20*(1+Assumptions!$F$49)^V10))-1))</f>
        <v>9057.262937751937</v>
      </c>
    </row>
    <row r="33" spans="2:22" x14ac:dyDescent="0.15">
      <c r="B33" s="8" t="s">
        <v>319</v>
      </c>
      <c r="C33" s="37">
        <f>C32/Assumptions!$F$31*1000</f>
        <v>48222.063033847509</v>
      </c>
      <c r="D33" s="37">
        <f>D32/Assumptions!$F$31*1000</f>
        <v>51033.434597616557</v>
      </c>
      <c r="E33" s="37">
        <f>E32/Assumptions!$F$31*1000</f>
        <v>54008.710597909223</v>
      </c>
      <c r="F33" s="37">
        <f>F32/Assumptions!$F$31*1000</f>
        <v>57157.446749330556</v>
      </c>
      <c r="G33" s="37">
        <f>G32/Assumptions!$F$31*1000</f>
        <v>60489.755869658329</v>
      </c>
      <c r="H33" s="37">
        <f>H32/Assumptions!$F$31*1000</f>
        <v>64016.340359250222</v>
      </c>
      <c r="I33" s="37">
        <f>I32/Assumptions!$F$31*1000</f>
        <v>67748.526574017349</v>
      </c>
      <c r="J33" s="37">
        <f>J32/Assumptions!$F$31*1000</f>
        <v>71698.30120236025</v>
      </c>
      <c r="K33" s="37">
        <f>K32/Assumptions!$F$31*1000</f>
        <v>75878.349762899437</v>
      </c>
      <c r="L33" s="37">
        <f>L32/Assumptions!$F$31*1000</f>
        <v>80302.097346643495</v>
      </c>
      <c r="M33" s="37">
        <f>M32/Assumptions!$F$31*1000</f>
        <v>84983.75173444736</v>
      </c>
      <c r="N33" s="37">
        <f>N32/Assumptions!$F$31*1000</f>
        <v>89938.349028240729</v>
      </c>
      <c r="O33" s="37">
        <f>O32/Assumptions!$F$31*1000</f>
        <v>95181.801942581063</v>
      </c>
      <c r="P33" s="37">
        <f>P32/Assumptions!$F$31*1000</f>
        <v>100730.95091162962</v>
      </c>
      <c r="Q33" s="37">
        <f>Q32/Assumptions!$F$31*1000</f>
        <v>106603.61817569082</v>
      </c>
      <c r="R33" s="37">
        <f>R32/Assumptions!$F$31*1000</f>
        <v>112818.66502102518</v>
      </c>
      <c r="S33" s="37">
        <f>S32/Assumptions!$F$31*1000</f>
        <v>119396.0523567737</v>
      </c>
      <c r="T33" s="37">
        <f>T32/Assumptions!$F$31*1000</f>
        <v>126356.9048235482</v>
      </c>
      <c r="U33" s="37">
        <f>U32/Assumptions!$F$31*1000</f>
        <v>133723.57863958654</v>
      </c>
      <c r="V33" s="37">
        <f>V32/Assumptions!$F$31*1000</f>
        <v>141519.73340237403</v>
      </c>
    </row>
    <row r="34" spans="2:22" x14ac:dyDescent="0.15">
      <c r="B34" s="8" t="s">
        <v>320</v>
      </c>
      <c r="C34" s="65">
        <f>Assumptions!$F$32*(1+Assumptions!$F$33)^C10</f>
        <v>13.159539047577512</v>
      </c>
      <c r="D34" s="65">
        <f>Assumptions!$F$32*(1+Assumptions!$F$33)^D10</f>
        <v>13.484514872324961</v>
      </c>
      <c r="E34" s="65">
        <f>Assumptions!$F$32*(1+Assumptions!$F$33)^E10</f>
        <v>13.817515999956386</v>
      </c>
      <c r="F34" s="65">
        <f>Assumptions!$F$32*(1+Assumptions!$F$33)^F10</f>
        <v>14.158740615941209</v>
      </c>
      <c r="G34" s="65">
        <f>Assumptions!$F$32*(1+Assumptions!$F$33)^G10</f>
        <v>14.508391799954207</v>
      </c>
      <c r="H34" s="65">
        <f>Assumptions!$F$32*(1+Assumptions!$F$33)^H10</f>
        <v>14.866677646738271</v>
      </c>
      <c r="I34" s="65">
        <f>Assumptions!$F$32*(1+Assumptions!$F$33)^I10</f>
        <v>15.233811389951917</v>
      </c>
      <c r="J34" s="65">
        <f>Assumptions!$F$32*(1+Assumptions!$F$33)^J10</f>
        <v>15.610011529075187</v>
      </c>
      <c r="K34" s="65">
        <f>Assumptions!$F$32*(1+Assumptions!$F$33)^K10</f>
        <v>15.995501959449514</v>
      </c>
      <c r="L34" s="65">
        <f>Assumptions!$F$32*(1+Assumptions!$F$33)^L10</f>
        <v>16.390512105528948</v>
      </c>
      <c r="M34" s="65">
        <f>Assumptions!$F$32*(1+Assumptions!$F$33)^M10</f>
        <v>16.795277057421991</v>
      </c>
      <c r="N34" s="65">
        <f>Assumptions!$F$32*(1+Assumptions!$F$33)^N10</f>
        <v>17.210037710805395</v>
      </c>
      <c r="O34" s="65">
        <f>Assumptions!$F$32*(1+Assumptions!$F$33)^O10</f>
        <v>17.635040910293093</v>
      </c>
      <c r="P34" s="65">
        <f>Assumptions!$F$32*(1+Assumptions!$F$33)^P10</f>
        <v>18.070539596345665</v>
      </c>
      <c r="Q34" s="65">
        <f>Assumptions!$F$32*(1+Assumptions!$F$33)^Q10</f>
        <v>18.516792955807748</v>
      </c>
      <c r="R34" s="65">
        <f>Assumptions!$F$32*(1+Assumptions!$F$33)^R10</f>
        <v>18.974066576162951</v>
      </c>
      <c r="S34" s="65">
        <f>Assumptions!$F$32*(1+Assumptions!$F$33)^S10</f>
        <v>19.442632603598135</v>
      </c>
      <c r="T34" s="65">
        <f>Assumptions!$F$32*(1+Assumptions!$F$33)^T10</f>
        <v>19.922769904971098</v>
      </c>
      <c r="U34" s="65">
        <f>Assumptions!$F$32*(1+Assumptions!$F$33)^U10</f>
        <v>20.414764233778044</v>
      </c>
      <c r="V34" s="65">
        <f>Assumptions!$F$32*(1+Assumptions!$F$33)^V10</f>
        <v>20.918908400219649</v>
      </c>
    </row>
    <row r="35" spans="2:22" x14ac:dyDescent="0.15">
      <c r="B35" s="8" t="s">
        <v>321</v>
      </c>
      <c r="C35" s="37">
        <f t="shared" ref="C35:V35" si="1">C31*C33</f>
        <v>151899498.55661964</v>
      </c>
      <c r="D35" s="37">
        <f t="shared" si="1"/>
        <v>298545592.39605683</v>
      </c>
      <c r="E35" s="37">
        <f t="shared" si="1"/>
        <v>324052263.58745533</v>
      </c>
      <c r="F35" s="37">
        <f t="shared" si="1"/>
        <v>342944680.49598336</v>
      </c>
      <c r="G35" s="37">
        <f t="shared" si="1"/>
        <v>430989510.57131559</v>
      </c>
      <c r="H35" s="37">
        <f t="shared" si="1"/>
        <v>456116425.05965781</v>
      </c>
      <c r="I35" s="37">
        <f t="shared" si="1"/>
        <v>482708251.83987361</v>
      </c>
      <c r="J35" s="37">
        <f t="shared" si="1"/>
        <v>510850396.06681681</v>
      </c>
      <c r="K35" s="37">
        <f t="shared" si="1"/>
        <v>540633242.06065845</v>
      </c>
      <c r="L35" s="37">
        <f t="shared" si="1"/>
        <v>572152443.59483492</v>
      </c>
      <c r="M35" s="37">
        <f t="shared" si="1"/>
        <v>605509231.10793746</v>
      </c>
      <c r="N35" s="37">
        <f t="shared" si="1"/>
        <v>640810736.82621515</v>
      </c>
      <c r="O35" s="37">
        <f t="shared" si="1"/>
        <v>678170338.84089005</v>
      </c>
      <c r="P35" s="37">
        <f t="shared" si="1"/>
        <v>717708025.24536109</v>
      </c>
      <c r="Q35" s="37">
        <f t="shared" si="1"/>
        <v>759550779.50179708</v>
      </c>
      <c r="R35" s="37">
        <f t="shared" si="1"/>
        <v>803832988.27480447</v>
      </c>
      <c r="S35" s="37">
        <f t="shared" si="1"/>
        <v>850696873.04201257</v>
      </c>
      <c r="T35" s="37">
        <f t="shared" si="1"/>
        <v>900292946.86778092</v>
      </c>
      <c r="U35" s="37">
        <f t="shared" si="1"/>
        <v>952780497.80705416</v>
      </c>
      <c r="V35" s="37">
        <f t="shared" si="1"/>
        <v>1008328100.491915</v>
      </c>
    </row>
    <row r="36" spans="2:22" x14ac:dyDescent="0.15">
      <c r="B36" s="41" t="s">
        <v>322</v>
      </c>
      <c r="C36" s="55">
        <f>C35*((IF(C8&lt;=2,Assumptions!$F$78,0))/Assumptions!$F$32+(1-(IF(C8&lt;=2,Assumptions!$F$78,0)))/C34)</f>
        <v>11613748.10561651</v>
      </c>
      <c r="D36" s="55">
        <f>D35*((IF(D8&lt;=2,Assumptions!$F$78,0))/Assumptions!$F$32+(1-(IF(D8&lt;=2,Assumptions!$F$78,0)))/D34)</f>
        <v>22552464.685331769</v>
      </c>
      <c r="E36" s="55">
        <f>E35*((IF(E8&lt;=2,Assumptions!$F$78,0))/Assumptions!$F$32+(1-(IF(E8&lt;=2,Assumptions!$F$78,0)))/E34)</f>
        <v>24189688.941547088</v>
      </c>
      <c r="F36" s="55">
        <f>F35*((IF(F8&lt;=2,Assumptions!$F$78,0))/Assumptions!$F$32+(1-(IF(F8&lt;=2,Assumptions!$F$78,0)))/F34)</f>
        <v>25300885.688402012</v>
      </c>
      <c r="G36" s="55">
        <f>G35*((IF(G8&lt;=2,Assumptions!$F$78,0))/Assumptions!$F$32+(1-(IF(G8&lt;=2,Assumptions!$F$78,0)))/G34)</f>
        <v>29706222.199808247</v>
      </c>
      <c r="H36" s="55">
        <f>H35*((IF(H8&lt;=2,Assumptions!$F$78,0))/Assumptions!$F$32+(1-(IF(H8&lt;=2,Assumptions!$F$78,0)))/H34)</f>
        <v>30680454.362291843</v>
      </c>
      <c r="I36" s="55">
        <f>I35*((IF(I8&lt;=2,Assumptions!$F$78,0))/Assumptions!$F$32+(1-(IF(I8&lt;=2,Assumptions!$F$78,0)))/I34)</f>
        <v>31686637.013128806</v>
      </c>
      <c r="J36" s="55">
        <f>J35*((IF(J8&lt;=2,Assumptions!$F$78,0))/Assumptions!$F$32+(1-(IF(J8&lt;=2,Assumptions!$F$78,0)))/J34)</f>
        <v>32725817.986444633</v>
      </c>
      <c r="K36" s="55">
        <f>K35*((IF(K8&lt;=2,Assumptions!$F$78,0))/Assumptions!$F$32+(1-(IF(K8&lt;=2,Assumptions!$F$78,0)))/K34)</f>
        <v>33799079.480670728</v>
      </c>
      <c r="L36" s="55">
        <f>L35*((IF(L8&lt;=2,Assumptions!$F$78,0))/Assumptions!$F$32+(1-(IF(L8&lt;=2,Assumptions!$F$78,0)))/L34)</f>
        <v>34907539.185540944</v>
      </c>
      <c r="M36" s="55">
        <f>M35*((IF(M8&lt;=2,Assumptions!$F$78,0))/Assumptions!$F$32+(1-(IF(M8&lt;=2,Assumptions!$F$78,0)))/M34)</f>
        <v>36052351.446048774</v>
      </c>
      <c r="N36" s="55">
        <f>N35*((IF(N8&lt;=2,Assumptions!$F$78,0))/Assumptions!$F$32+(1-(IF(N8&lt;=2,Assumptions!$F$78,0)))/N34)</f>
        <v>37234708.464577004</v>
      </c>
      <c r="O36" s="55">
        <f>O35*((IF(O8&lt;=2,Assumptions!$F$78,0))/Assumptions!$F$32+(1-(IF(O8&lt;=2,Assumptions!$F$78,0)))/O34)</f>
        <v>38455841.542452022</v>
      </c>
      <c r="P36" s="55">
        <f>P35*((IF(P8&lt;=2,Assumptions!$F$78,0))/Assumptions!$F$32+(1-(IF(P8&lt;=2,Assumptions!$F$78,0)))/P34)</f>
        <v>39717022.362215482</v>
      </c>
      <c r="Q36" s="55">
        <f>Q35*((IF(Q8&lt;=2,Assumptions!$F$78,0))/Assumptions!$F$32+(1-(IF(Q8&lt;=2,Assumptions!$F$78,0)))/Q34)</f>
        <v>41019564.311948836</v>
      </c>
      <c r="R36" s="55">
        <f>R35*((IF(R8&lt;=2,Assumptions!$F$78,0))/Assumptions!$F$32+(1-(IF(R8&lt;=2,Assumptions!$F$78,0)))/R34)</f>
        <v>42364823.853029847</v>
      </c>
      <c r="S36" s="55">
        <f>S35*((IF(S8&lt;=2,Assumptions!$F$78,0))/Assumptions!$F$32+(1-(IF(S8&lt;=2,Assumptions!$F$78,0)))/S34)</f>
        <v>43754201.932745412</v>
      </c>
      <c r="T36" s="55">
        <f>T35*((IF(T8&lt;=2,Assumptions!$F$78,0))/Assumptions!$F$32+(1-(IF(T8&lt;=2,Assumptions!$F$78,0)))/T34)</f>
        <v>45189145.443231829</v>
      </c>
      <c r="U36" s="55">
        <f>U35*((IF(U8&lt;=2,Assumptions!$F$78,0))/Assumptions!$F$32+(1-(IF(U8&lt;=2,Assumptions!$F$78,0)))/U34)</f>
        <v>46671148.728261776</v>
      </c>
      <c r="V36" s="55">
        <f>V35*((IF(V8&lt;=2,Assumptions!$F$78,0))/Assumptions!$F$32+(1-(IF(V8&lt;=2,Assumptions!$F$78,0)))/V34)</f>
        <v>48201755.139447309</v>
      </c>
    </row>
    <row r="37" spans="2:22" x14ac:dyDescent="0.15">
      <c r="B37" s="54" t="s">
        <v>323</v>
      </c>
      <c r="C37" s="54"/>
      <c r="D37" s="54"/>
      <c r="E37" s="54"/>
      <c r="F37" s="54"/>
      <c r="G37" s="54"/>
      <c r="H37" s="54"/>
      <c r="I37" s="54"/>
      <c r="J37" s="54"/>
      <c r="K37" s="54"/>
      <c r="L37" s="54"/>
      <c r="M37" s="54"/>
      <c r="N37" s="54"/>
      <c r="O37" s="54"/>
      <c r="P37" s="54"/>
      <c r="Q37" s="54"/>
      <c r="R37" s="54"/>
      <c r="S37" s="54"/>
      <c r="T37" s="54"/>
      <c r="U37" s="54"/>
      <c r="V37" s="54"/>
    </row>
    <row r="38" spans="2:22" x14ac:dyDescent="0.15">
      <c r="B38" s="8" t="s">
        <v>324</v>
      </c>
      <c r="C38" s="66">
        <f>Assumptions!$F$37*(1+Assumptions!$F$49)^C10</f>
        <v>955.18243871546758</v>
      </c>
      <c r="D38" s="66">
        <f>Assumptions!$F$37*(1+Assumptions!$F$49)^D10</f>
        <v>965.63228406961287</v>
      </c>
      <c r="E38" s="66">
        <f>Assumptions!$F$37*(1+Assumptions!$F$49)^E10</f>
        <v>976.19645236720805</v>
      </c>
      <c r="F38" s="66">
        <f>Assumptions!$F$37*(1+Assumptions!$F$49)^F10</f>
        <v>986.87619431914425</v>
      </c>
      <c r="G38" s="66">
        <f>Assumptions!$F$37*(1+Assumptions!$F$49)^G10</f>
        <v>997.67277431928642</v>
      </c>
      <c r="H38" s="66">
        <f>Assumptions!$F$37*(1+Assumptions!$F$49)^H10</f>
        <v>1008.5874705941654</v>
      </c>
      <c r="I38" s="66">
        <f>Assumptions!$F$37*(1+Assumptions!$F$49)^I10</f>
        <v>1019.6215753543108</v>
      </c>
      <c r="J38" s="66">
        <f>Assumptions!$F$37*(1+Assumptions!$F$49)^J10</f>
        <v>1030.7763949472371</v>
      </c>
      <c r="K38" s="66">
        <f>Assumptions!$F$37*(1+Assumptions!$F$49)^K10</f>
        <v>1042.0532500121058</v>
      </c>
      <c r="L38" s="66">
        <f>Assumptions!$F$37*(1+Assumptions!$F$49)^L10</f>
        <v>1053.4534756360765</v>
      </c>
      <c r="M38" s="66">
        <f>Assumptions!$F$37*(1+Assumptions!$F$49)^M10</f>
        <v>1064.9784215123721</v>
      </c>
      <c r="N38" s="66">
        <f>Assumptions!$F$37*(1+Assumptions!$F$49)^N10</f>
        <v>1076.6294521000702</v>
      </c>
      <c r="O38" s="66">
        <f>Assumptions!$F$37*(1+Assumptions!$F$49)^O10</f>
        <v>1088.4079467856443</v>
      </c>
      <c r="P38" s="66">
        <f>Assumptions!$F$37*(1+Assumptions!$F$49)^P10</f>
        <v>1100.3153000462717</v>
      </c>
      <c r="Q38" s="66">
        <f>Assumptions!$F$37*(1+Assumptions!$F$49)^Q10</f>
        <v>1112.3529216149286</v>
      </c>
      <c r="R38" s="66">
        <f>Assumptions!$F$37*(1+Assumptions!$F$49)^R10</f>
        <v>1124.5222366472897</v>
      </c>
      <c r="S38" s="66">
        <f>Assumptions!$F$37*(1+Assumptions!$F$49)^S10</f>
        <v>1136.8246858904567</v>
      </c>
      <c r="T38" s="66">
        <f>Assumptions!$F$37*(1+Assumptions!$F$49)^T10</f>
        <v>1149.2617258535302</v>
      </c>
      <c r="U38" s="66">
        <f>Assumptions!$F$37*(1+Assumptions!$F$49)^U10</f>
        <v>1161.834828980047</v>
      </c>
      <c r="V38" s="66">
        <f>Assumptions!$F$37*(1+Assumptions!$F$49)^V10</f>
        <v>1174.5454838223079</v>
      </c>
    </row>
    <row r="39" spans="2:22" x14ac:dyDescent="0.15">
      <c r="B39" s="8" t="s">
        <v>325</v>
      </c>
      <c r="C39" s="39">
        <f>C13*C38</f>
        <v>3008824.6819537231</v>
      </c>
      <c r="D39" s="39">
        <f t="shared" ref="C39:V39" si="2">D13*D38</f>
        <v>5648948.8618072355</v>
      </c>
      <c r="E39" s="39">
        <f t="shared" si="2"/>
        <v>5857178.7142032487</v>
      </c>
      <c r="F39" s="39">
        <f t="shared" si="2"/>
        <v>5921257.1659148652</v>
      </c>
      <c r="G39" s="39">
        <f t="shared" si="2"/>
        <v>7108418.5170249157</v>
      </c>
      <c r="H39" s="39">
        <f t="shared" si="2"/>
        <v>7186185.7279834291</v>
      </c>
      <c r="I39" s="39">
        <f t="shared" si="2"/>
        <v>7264803.7243994651</v>
      </c>
      <c r="J39" s="39">
        <f t="shared" si="2"/>
        <v>7344281.8139990643</v>
      </c>
      <c r="K39" s="39">
        <f t="shared" si="2"/>
        <v>7424629.4063362535</v>
      </c>
      <c r="L39" s="39">
        <f t="shared" si="2"/>
        <v>7505856.0139070451</v>
      </c>
      <c r="M39" s="39">
        <f t="shared" si="2"/>
        <v>7587971.2532756506</v>
      </c>
      <c r="N39" s="39">
        <f t="shared" si="2"/>
        <v>7670984.8462130008</v>
      </c>
      <c r="O39" s="39">
        <f t="shared" si="2"/>
        <v>7754906.620847716</v>
      </c>
      <c r="P39" s="39">
        <f t="shared" si="2"/>
        <v>7839746.5128296856</v>
      </c>
      <c r="Q39" s="39">
        <f t="shared" si="2"/>
        <v>7925514.5665063662</v>
      </c>
      <c r="R39" s="39">
        <f t="shared" si="2"/>
        <v>8012220.9361119391</v>
      </c>
      <c r="S39" s="39">
        <f t="shared" si="2"/>
        <v>8099875.8869695039</v>
      </c>
      <c r="T39" s="39">
        <f t="shared" si="2"/>
        <v>8188489.7967064027</v>
      </c>
      <c r="U39" s="39">
        <f t="shared" si="2"/>
        <v>8278073.1564828344</v>
      </c>
      <c r="V39" s="39">
        <f t="shared" si="2"/>
        <v>8368636.5722339442</v>
      </c>
    </row>
    <row r="40" spans="2:22" x14ac:dyDescent="0.15">
      <c r="B40" s="8" t="s">
        <v>326</v>
      </c>
      <c r="C40" s="66">
        <f>Assumptions!$F$38*(1+Assumptions!$F$49)^C10</f>
        <v>45.245483939153729</v>
      </c>
      <c r="D40" s="66">
        <f>Assumptions!$F$38*(1+Assumptions!$F$49)^D10</f>
        <v>45.740476613823766</v>
      </c>
      <c r="E40" s="66">
        <f>Assumptions!$F$38*(1+Assumptions!$F$49)^E10</f>
        <v>46.240884585815117</v>
      </c>
      <c r="F40" s="66">
        <f>Assumptions!$F$38*(1+Assumptions!$F$49)^F10</f>
        <v>46.746767099327883</v>
      </c>
      <c r="G40" s="66">
        <f>Assumptions!$F$38*(1+Assumptions!$F$49)^G10</f>
        <v>47.258184046703043</v>
      </c>
      <c r="H40" s="66">
        <f>Assumptions!$F$38*(1+Assumptions!$F$49)^H10</f>
        <v>47.7751959755131</v>
      </c>
      <c r="I40" s="66">
        <f>Assumptions!$F$38*(1+Assumptions!$F$49)^I10</f>
        <v>48.297864095730517</v>
      </c>
      <c r="J40" s="66">
        <f>Assumptions!$F$38*(1+Assumptions!$F$49)^J10</f>
        <v>48.826250286974393</v>
      </c>
      <c r="K40" s="66">
        <f>Assumptions!$F$38*(1+Assumptions!$F$49)^K10</f>
        <v>49.360417105836589</v>
      </c>
      <c r="L40" s="66">
        <f>Assumptions!$F$38*(1+Assumptions!$F$49)^L10</f>
        <v>49.900427793287832</v>
      </c>
      <c r="M40" s="66">
        <f>Assumptions!$F$38*(1+Assumptions!$F$49)^M10</f>
        <v>50.446346282164988</v>
      </c>
      <c r="N40" s="66">
        <f>Assumptions!$F$38*(1+Assumptions!$F$49)^N10</f>
        <v>50.998237204740164</v>
      </c>
      <c r="O40" s="66">
        <f>Assumptions!$F$38*(1+Assumptions!$F$49)^O10</f>
        <v>51.556165900372626</v>
      </c>
      <c r="P40" s="66">
        <f>Assumptions!$F$38*(1+Assumptions!$F$49)^P10</f>
        <v>52.120198423244446</v>
      </c>
      <c r="Q40" s="66">
        <f>Assumptions!$F$38*(1+Assumptions!$F$49)^Q10</f>
        <v>52.690401550180823</v>
      </c>
      <c r="R40" s="66">
        <f>Assumptions!$F$38*(1+Assumptions!$F$49)^R10</f>
        <v>53.266842788555827</v>
      </c>
      <c r="S40" s="66">
        <f>Assumptions!$F$38*(1+Assumptions!$F$49)^S10</f>
        <v>53.849590384284795</v>
      </c>
      <c r="T40" s="66">
        <f>Assumptions!$F$38*(1+Assumptions!$F$49)^T10</f>
        <v>54.438713329904054</v>
      </c>
      <c r="U40" s="66">
        <f>Assumptions!$F$38*(1+Assumptions!$F$49)^U10</f>
        <v>55.034281372739066</v>
      </c>
      <c r="V40" s="66">
        <f>Assumptions!$F$38*(1+Assumptions!$F$49)^V10</f>
        <v>55.63636502316195</v>
      </c>
    </row>
    <row r="41" spans="2:22" x14ac:dyDescent="0.15">
      <c r="B41" s="8" t="s">
        <v>327</v>
      </c>
      <c r="C41" s="39">
        <f>C14*C40</f>
        <v>121144.78324708411</v>
      </c>
      <c r="D41" s="39">
        <f t="shared" ref="C41:V41" si="3">D14*D40</f>
        <v>227444.51996223867</v>
      </c>
      <c r="E41" s="39">
        <f t="shared" si="3"/>
        <v>235828.51138765708</v>
      </c>
      <c r="F41" s="39">
        <f t="shared" si="3"/>
        <v>238408.5122065722</v>
      </c>
      <c r="G41" s="39">
        <f t="shared" si="3"/>
        <v>286207.37713284529</v>
      </c>
      <c r="H41" s="39">
        <f t="shared" si="3"/>
        <v>289338.53062670119</v>
      </c>
      <c r="I41" s="39">
        <f t="shared" si="3"/>
        <v>292503.93942976795</v>
      </c>
      <c r="J41" s="39">
        <f t="shared" si="3"/>
        <v>295703.97830048867</v>
      </c>
      <c r="K41" s="39">
        <f t="shared" si="3"/>
        <v>298939.02609722287</v>
      </c>
      <c r="L41" s="39">
        <f t="shared" si="3"/>
        <v>302209.46582309942</v>
      </c>
      <c r="M41" s="39">
        <f t="shared" si="3"/>
        <v>305515.6846713617</v>
      </c>
      <c r="N41" s="39">
        <f t="shared" si="3"/>
        <v>308858.07407120761</v>
      </c>
      <c r="O41" s="39">
        <f t="shared" si="3"/>
        <v>312237.02973413171</v>
      </c>
      <c r="P41" s="39">
        <f t="shared" si="3"/>
        <v>315652.9517007742</v>
      </c>
      <c r="Q41" s="39">
        <f t="shared" si="3"/>
        <v>319106.24438828259</v>
      </c>
      <c r="R41" s="39">
        <f t="shared" si="3"/>
        <v>322597.31663819123</v>
      </c>
      <c r="S41" s="39">
        <f t="shared" si="3"/>
        <v>326126.5817648248</v>
      </c>
      <c r="T41" s="39">
        <f t="shared" si="3"/>
        <v>329694.45760423143</v>
      </c>
      <c r="U41" s="39">
        <f t="shared" si="3"/>
        <v>333301.36656365095</v>
      </c>
      <c r="V41" s="39">
        <f t="shared" si="3"/>
        <v>336947.73567152454</v>
      </c>
    </row>
    <row r="42" spans="2:22" x14ac:dyDescent="0.15">
      <c r="B42" s="41" t="s">
        <v>328</v>
      </c>
      <c r="C42" s="55">
        <f t="shared" ref="C42:V42" si="4">C36+C39+C41</f>
        <v>14743717.570817316</v>
      </c>
      <c r="D42" s="55">
        <f t="shared" si="4"/>
        <v>28428858.067101244</v>
      </c>
      <c r="E42" s="55">
        <f t="shared" si="4"/>
        <v>30282696.167137995</v>
      </c>
      <c r="F42" s="55">
        <f t="shared" si="4"/>
        <v>31460551.366523448</v>
      </c>
      <c r="G42" s="55">
        <f t="shared" si="4"/>
        <v>37100848.093966007</v>
      </c>
      <c r="H42" s="55">
        <f t="shared" si="4"/>
        <v>38155978.620901972</v>
      </c>
      <c r="I42" s="55">
        <f t="shared" si="4"/>
        <v>39243944.676958039</v>
      </c>
      <c r="J42" s="55">
        <f t="shared" si="4"/>
        <v>40365803.778744183</v>
      </c>
      <c r="K42" s="55">
        <f t="shared" si="4"/>
        <v>41522647.913104206</v>
      </c>
      <c r="L42" s="55">
        <f t="shared" si="4"/>
        <v>42715604.665271088</v>
      </c>
      <c r="M42" s="55">
        <f t="shared" si="4"/>
        <v>43945838.383995786</v>
      </c>
      <c r="N42" s="55">
        <f t="shared" si="4"/>
        <v>45214551.384861208</v>
      </c>
      <c r="O42" s="55">
        <f t="shared" si="4"/>
        <v>46522985.193033874</v>
      </c>
      <c r="P42" s="55">
        <f t="shared" si="4"/>
        <v>47872421.826745942</v>
      </c>
      <c r="Q42" s="55">
        <f t="shared" si="4"/>
        <v>49264185.122843482</v>
      </c>
      <c r="R42" s="55">
        <f t="shared" si="4"/>
        <v>50699642.105779983</v>
      </c>
      <c r="S42" s="55">
        <f t="shared" si="4"/>
        <v>52180204.401479743</v>
      </c>
      <c r="T42" s="55">
        <f t="shared" si="4"/>
        <v>53707329.697542459</v>
      </c>
      <c r="U42" s="55">
        <f t="shared" si="4"/>
        <v>55282523.251308262</v>
      </c>
      <c r="V42" s="55">
        <f>V36+V39+V41</f>
        <v>56907339.447352782</v>
      </c>
    </row>
    <row r="43" spans="2:22" x14ac:dyDescent="0.15">
      <c r="B43" s="54" t="s">
        <v>329</v>
      </c>
      <c r="C43" s="54"/>
      <c r="D43" s="54"/>
      <c r="E43" s="54"/>
      <c r="F43" s="54"/>
      <c r="G43" s="54"/>
      <c r="H43" s="54"/>
      <c r="I43" s="54"/>
      <c r="J43" s="54"/>
      <c r="K43" s="54"/>
      <c r="L43" s="54"/>
      <c r="M43" s="54"/>
      <c r="N43" s="54"/>
      <c r="O43" s="54"/>
      <c r="P43" s="54"/>
      <c r="Q43" s="54"/>
      <c r="R43" s="54"/>
      <c r="S43" s="54"/>
      <c r="T43" s="54"/>
      <c r="U43" s="54"/>
      <c r="V43" s="54"/>
    </row>
    <row r="44" spans="2:22" x14ac:dyDescent="0.15">
      <c r="B44" s="41" t="s">
        <v>330</v>
      </c>
      <c r="C44" s="18">
        <f t="shared" ref="C44:V44" si="5">C29-C42</f>
        <v>24293734.273869947</v>
      </c>
      <c r="D44" s="18">
        <f t="shared" si="5"/>
        <v>14409116.467327464</v>
      </c>
      <c r="E44" s="18">
        <f t="shared" si="5"/>
        <v>13181182.448083326</v>
      </c>
      <c r="F44" s="18">
        <f t="shared" si="5"/>
        <v>12444794.055490013</v>
      </c>
      <c r="G44" s="18">
        <f t="shared" si="5"/>
        <v>10745180.71003215</v>
      </c>
      <c r="H44" s="18">
        <f t="shared" si="5"/>
        <v>10177118.504362665</v>
      </c>
      <c r="I44" s="18">
        <f>I29-I42</f>
        <v>9581549.3732280806</v>
      </c>
      <c r="J44" s="18">
        <f t="shared" si="5"/>
        <v>8957474.0957762673</v>
      </c>
      <c r="K44" s="18">
        <f t="shared" si="5"/>
        <v>8008314.6186860055</v>
      </c>
      <c r="L44" s="18">
        <f t="shared" si="5"/>
        <v>7324092.9349888191</v>
      </c>
      <c r="M44" s="18">
        <f t="shared" si="5"/>
        <v>6608159.9259938076</v>
      </c>
      <c r="N44" s="18">
        <f t="shared" si="5"/>
        <v>5859374.1651044264</v>
      </c>
      <c r="O44" s="18">
        <f t="shared" si="5"/>
        <v>5076555.6822755113</v>
      </c>
      <c r="P44" s="18">
        <f t="shared" si="5"/>
        <v>4258484.687818937</v>
      </c>
      <c r="Q44" s="18">
        <f t="shared" si="5"/>
        <v>3403900.2542226985</v>
      </c>
      <c r="R44" s="18">
        <f t="shared" si="5"/>
        <v>2511498.9546053186</v>
      </c>
      <c r="S44" s="18">
        <f t="shared" si="5"/>
        <v>1579933.4563819021</v>
      </c>
      <c r="T44" s="18">
        <f t="shared" si="5"/>
        <v>607811.06867132336</v>
      </c>
      <c r="U44" s="18">
        <f t="shared" si="5"/>
        <v>-406307.75807367265</v>
      </c>
      <c r="V44" s="18">
        <f t="shared" si="5"/>
        <v>-1463910.9817822948</v>
      </c>
    </row>
    <row r="45" spans="2:22" x14ac:dyDescent="0.15">
      <c r="B45" s="8" t="s">
        <v>331</v>
      </c>
      <c r="C45" s="39">
        <f>(Construction!$D$6+Construction!$I$29+Construction!$M$29+Construction!$D$45)/Assumptions!$F$53/2</f>
        <v>10367157.291703235</v>
      </c>
      <c r="D45" s="39">
        <f>(Construction!$D$6+Construction!$I$29+Construction!$M$29+Construction!$D$45)/Assumptions!$F$53/2</f>
        <v>10367157.291703235</v>
      </c>
      <c r="E45" s="39">
        <f>(Construction!$D$6+Construction!$I$29+Construction!$M$29+Construction!$D$45)/Assumptions!$F$53/2</f>
        <v>10367157.291703235</v>
      </c>
      <c r="F45" s="39">
        <f>(Construction!$D$6+Construction!$I$29+Construction!$M$29+Construction!$D$45)/Assumptions!$F$53/2</f>
        <v>10367157.291703235</v>
      </c>
      <c r="G45" s="39">
        <f>(Construction!$D$6+Construction!$I$29+Construction!$M$29+Construction!$D$45)/Assumptions!$F$53/2</f>
        <v>10367157.291703235</v>
      </c>
      <c r="H45" s="39">
        <f>(Construction!$D$6+Construction!$I$29+Construction!$M$29+Construction!$D$45)/Assumptions!$F$53/2</f>
        <v>10367157.291703235</v>
      </c>
      <c r="I45" s="39">
        <f>(Construction!$D$6+Construction!$I$29+Construction!$M$29+Construction!$D$45)/Assumptions!$F$53/2</f>
        <v>10367157.291703235</v>
      </c>
      <c r="J45" s="39">
        <f>(Construction!$D$6+Construction!$I$29+Construction!$M$29+Construction!$D$45)/Assumptions!$F$53/2</f>
        <v>10367157.291703235</v>
      </c>
      <c r="K45" s="39">
        <f>(Construction!$D$6+Construction!$I$29+Construction!$M$29+Construction!$D$45)/Assumptions!$F$53/2</f>
        <v>10367157.291703235</v>
      </c>
      <c r="L45" s="39">
        <f>(Construction!$D$6+Construction!$I$29+Construction!$M$29+Construction!$D$45)/Assumptions!$F$53/2</f>
        <v>10367157.291703235</v>
      </c>
      <c r="M45" s="39">
        <f>(Construction!$D$6+Construction!$I$29+Construction!$M$29+Construction!$D$45)/Assumptions!$F$53/2</f>
        <v>10367157.291703235</v>
      </c>
      <c r="N45" s="39">
        <f>(Construction!$D$6+Construction!$I$29+Construction!$M$29+Construction!$D$45)/Assumptions!$F$53/2</f>
        <v>10367157.291703235</v>
      </c>
      <c r="O45" s="39">
        <f>(Construction!$D$6+Construction!$I$29+Construction!$M$29+Construction!$D$45)/Assumptions!$F$53/2</f>
        <v>10367157.291703235</v>
      </c>
      <c r="P45" s="39">
        <f>(Construction!$D$6+Construction!$I$29+Construction!$M$29+Construction!$D$45)/Assumptions!$F$53/2</f>
        <v>10367157.291703235</v>
      </c>
      <c r="Q45" s="39">
        <f>(Construction!$D$6+Construction!$I$29+Construction!$M$29+Construction!$D$45)/Assumptions!$F$53/2</f>
        <v>10367157.291703235</v>
      </c>
      <c r="R45" s="39">
        <f>(Construction!$D$6+Construction!$I$29+Construction!$M$29+Construction!$D$45)/Assumptions!$F$53/2</f>
        <v>10367157.291703235</v>
      </c>
      <c r="S45" s="39">
        <f>(Construction!$D$6+Construction!$I$29+Construction!$M$29+Construction!$D$45)/Assumptions!$F$53/2</f>
        <v>10367157.291703235</v>
      </c>
      <c r="T45" s="39">
        <f>(Construction!$D$6+Construction!$I$29+Construction!$M$29+Construction!$D$45)/Assumptions!$F$53/2</f>
        <v>10367157.291703235</v>
      </c>
      <c r="U45" s="39">
        <f>(Construction!$D$6+Construction!$I$29+Construction!$M$29+Construction!$D$45)/Assumptions!$F$53/2</f>
        <v>10367157.291703235</v>
      </c>
      <c r="V45" s="39">
        <f>(Construction!$D$6+Construction!$I$29+Construction!$M$29+Construction!$D$45)/Assumptions!$F$53/2</f>
        <v>10367157.291703235</v>
      </c>
    </row>
    <row r="46" spans="2:22" x14ac:dyDescent="0.15">
      <c r="B46" s="8" t="s">
        <v>332</v>
      </c>
      <c r="C46" s="46">
        <f>Debt!C9</f>
        <v>6010214.1046877801</v>
      </c>
      <c r="D46" s="46">
        <f>Debt!D9</f>
        <v>5408043.5992690483</v>
      </c>
      <c r="E46" s="46">
        <f>Debt!E9</f>
        <v>5138438.7223896701</v>
      </c>
      <c r="F46" s="46">
        <f>Debt!F9</f>
        <v>4900894.433792443</v>
      </c>
      <c r="G46" s="46">
        <f>Debt!G9</f>
        <v>4678973.2904469874</v>
      </c>
      <c r="H46" s="46">
        <f>Debt!H9</f>
        <v>4508612.149645891</v>
      </c>
      <c r="I46" s="46">
        <f>Debt!I9</f>
        <v>4350914.9737100508</v>
      </c>
      <c r="J46" s="46">
        <f>Debt!J9</f>
        <v>4207488.3617087137</v>
      </c>
      <c r="K46" s="46">
        <f>Debt!K9</f>
        <v>4080051.7361595901</v>
      </c>
      <c r="L46" s="46">
        <f>Debt!L9</f>
        <v>3981242.6979444129</v>
      </c>
      <c r="M46" s="46">
        <f>Debt!M9</f>
        <v>3902740.6380875651</v>
      </c>
      <c r="N46" s="46">
        <f>Debt!N9</f>
        <v>3846668.821100797</v>
      </c>
      <c r="O46" s="46">
        <f>Debt!O9</f>
        <v>3815293.0725319609</v>
      </c>
      <c r="P46" s="46">
        <f>Debt!P9</f>
        <v>3811029.9589325469</v>
      </c>
      <c r="Q46" s="46">
        <f>Debt!Q9</f>
        <v>3811029.9589325469</v>
      </c>
      <c r="R46" s="46">
        <f>Debt!R9</f>
        <v>3811029.9589325469</v>
      </c>
      <c r="S46" s="46">
        <f>Debt!S9</f>
        <v>3811029.9589325469</v>
      </c>
      <c r="T46" s="46">
        <f>Debt!T9</f>
        <v>3811029.9589325469</v>
      </c>
      <c r="U46" s="46">
        <f>Debt!U9</f>
        <v>3811029.9589325469</v>
      </c>
      <c r="V46" s="46">
        <f>Debt!V9</f>
        <v>3811029.9589325469</v>
      </c>
    </row>
    <row r="47" spans="2:22" x14ac:dyDescent="0.15">
      <c r="B47" s="8" t="s">
        <v>333</v>
      </c>
      <c r="C47" s="39">
        <f>C44-C45-C46-Debt!C36</f>
        <v>5661500.2970553394</v>
      </c>
      <c r="D47" s="39">
        <f>D44-D45-D46-Debt!D36</f>
        <v>-3603313.5694308258</v>
      </c>
      <c r="E47" s="39">
        <f>E44-E45-E46-Debt!E36</f>
        <v>-4060422.6932488969</v>
      </c>
      <c r="F47" s="39">
        <f>F44-F45-F46-Debt!F36</f>
        <v>-4516285.1473407261</v>
      </c>
      <c r="G47" s="39">
        <f>G44-G45-G46-Debt!G36</f>
        <v>-5994351.3173991702</v>
      </c>
      <c r="H47" s="39">
        <f>H44-H45-H46-Debt!H36</f>
        <v>-6504624.6970800124</v>
      </c>
      <c r="I47" s="39">
        <f>I44-I45-I46-Debt!I36</f>
        <v>-7011103.5072649959</v>
      </c>
      <c r="J47" s="39">
        <f>J44-J45-J46-Debt!J36</f>
        <v>-7605337.8270972725</v>
      </c>
      <c r="K47" s="39">
        <f>K44-K45-K46-Debt!K36</f>
        <v>-8526854.2467313334</v>
      </c>
      <c r="L47" s="39">
        <f>L44-L45-L46-Debt!L36</f>
        <v>-9245073.5161039121</v>
      </c>
      <c r="M47" s="39">
        <f>M44-M45-M46-Debt!M36</f>
        <v>-10023512.602216059</v>
      </c>
      <c r="N47" s="39">
        <f>N44-N45-N46-Debt!N36</f>
        <v>-10881550.768008007</v>
      </c>
      <c r="O47" s="39">
        <f>O44-O45-O46-Debt!O36</f>
        <v>-11809890.419689674</v>
      </c>
      <c r="P47" s="39">
        <f>P44-P45-P46-Debt!P36</f>
        <v>-12812978.002187934</v>
      </c>
      <c r="Q47" s="39">
        <f>Q44-Q45-Q46-Debt!Q36</f>
        <v>-13870091.716540147</v>
      </c>
      <c r="R47" s="39">
        <f>R44-R45-R46-Debt!R36</f>
        <v>-14979199.346566422</v>
      </c>
      <c r="S47" s="39">
        <f>S44-S45-S46-Debt!S36</f>
        <v>-16142640.618327355</v>
      </c>
      <c r="T47" s="39">
        <f>T44-T45-T46-Debt!T36</f>
        <v>-17362870.083723076</v>
      </c>
      <c r="U47" s="39">
        <f>U44-U45-U46-Debt!U36</f>
        <v>-18642463.483591177</v>
      </c>
      <c r="V47" s="39">
        <f>V44-V45-V46-Debt!V36</f>
        <v>-19984124.500541519</v>
      </c>
    </row>
    <row r="48" spans="2:22" x14ac:dyDescent="0.15">
      <c r="B48" s="8" t="s">
        <v>334</v>
      </c>
      <c r="C48" s="38">
        <f>IF(Assumptions!$F$51="Yes",IF(C8&lt;=Assumptions!$F$52,0,Assumptions!$F$50),Assumptions!$F$50)</f>
        <v>0</v>
      </c>
      <c r="D48" s="38">
        <f>IF(Assumptions!$F$51="Yes",IF(D8&lt;=Assumptions!$F$52,0,Assumptions!$F$50),Assumptions!$F$50)</f>
        <v>0</v>
      </c>
      <c r="E48" s="38">
        <f>IF(Assumptions!$F$51="Yes",IF(E8&lt;=Assumptions!$F$52,0,Assumptions!$F$50),Assumptions!$F$50)</f>
        <v>0</v>
      </c>
      <c r="F48" s="38">
        <f>IF(Assumptions!$F$51="Yes",IF(F8&lt;=Assumptions!$F$52,0,Assumptions!$F$50),Assumptions!$F$50)</f>
        <v>0</v>
      </c>
      <c r="G48" s="38">
        <f>IF(Assumptions!$F$51="Yes",IF(G8&lt;=Assumptions!$F$52,0,Assumptions!$F$50),Assumptions!$F$50)</f>
        <v>0</v>
      </c>
      <c r="H48" s="38">
        <f>IF(Assumptions!$F$51="Yes",IF(H8&lt;=Assumptions!$F$52,0,Assumptions!$F$50),Assumptions!$F$50)</f>
        <v>0</v>
      </c>
      <c r="I48" s="38">
        <f>IF(Assumptions!$F$51="Yes",IF(I8&lt;=Assumptions!$F$52,0,Assumptions!$F$50),Assumptions!$F$50)</f>
        <v>0</v>
      </c>
      <c r="J48" s="38">
        <f>IF(Assumptions!$F$51="Yes",IF(J8&lt;=Assumptions!$F$52,0,Assumptions!$F$50),Assumptions!$F$50)</f>
        <v>0</v>
      </c>
      <c r="K48" s="38">
        <f>IF(Assumptions!$F$51="Yes",IF(K8&lt;=Assumptions!$F$52,0,Assumptions!$F$50),Assumptions!$F$50)</f>
        <v>0</v>
      </c>
      <c r="L48" s="38">
        <f>IF(Assumptions!$F$51="Yes",IF(L8&lt;=Assumptions!$F$52,0,Assumptions!$F$50),Assumptions!$F$50)</f>
        <v>0</v>
      </c>
      <c r="M48" s="38">
        <f>IF(Assumptions!$F$51="Yes",IF(M8&lt;=Assumptions!$F$52,0,Assumptions!$F$50),Assumptions!$F$50)</f>
        <v>0</v>
      </c>
      <c r="N48" s="38">
        <f>IF(Assumptions!$F$51="Yes",IF(N8&lt;=Assumptions!$F$52,0,Assumptions!$F$50),Assumptions!$F$50)</f>
        <v>0</v>
      </c>
      <c r="O48" s="38">
        <f>IF(Assumptions!$F$51="Yes",IF(O8&lt;=Assumptions!$F$52,0,Assumptions!$F$50),Assumptions!$F$50)</f>
        <v>0</v>
      </c>
      <c r="P48" s="38">
        <f>IF(Assumptions!$F$51="Yes",IF(P8&lt;=Assumptions!$F$52,0,Assumptions!$F$50),Assumptions!$F$50)</f>
        <v>0</v>
      </c>
      <c r="Q48" s="38">
        <f>IF(Assumptions!$F$51="Yes",IF(Q8&lt;=Assumptions!$F$52,0,Assumptions!$F$50),Assumptions!$F$50)</f>
        <v>0</v>
      </c>
      <c r="R48" s="38">
        <f>IF(Assumptions!$F$51="Yes",IF(R8&lt;=Assumptions!$F$52,0,Assumptions!$F$50),Assumptions!$F$50)</f>
        <v>0</v>
      </c>
      <c r="S48" s="38">
        <f>IF(Assumptions!$F$51="Yes",IF(S8&lt;=Assumptions!$F$52,0,Assumptions!$F$50),Assumptions!$F$50)</f>
        <v>0</v>
      </c>
      <c r="T48" s="38">
        <f>IF(Assumptions!$F$51="Yes",IF(T8&lt;=Assumptions!$F$52,0,Assumptions!$F$50),Assumptions!$F$50)</f>
        <v>0</v>
      </c>
      <c r="U48" s="38">
        <f>IF(Assumptions!$F$51="Yes",IF(U8&lt;=Assumptions!$F$52,0,Assumptions!$F$50),Assumptions!$F$50)</f>
        <v>0</v>
      </c>
      <c r="V48" s="38">
        <f>IF(Assumptions!$F$51="Yes",IF(V8&lt;=Assumptions!$F$52,0,Assumptions!$F$50),Assumptions!$F$50)</f>
        <v>0</v>
      </c>
    </row>
    <row r="49" spans="2:22" x14ac:dyDescent="0.15">
      <c r="B49" s="8" t="s">
        <v>335</v>
      </c>
      <c r="C49" s="39">
        <f>MAX(0,C47)*C48</f>
        <v>0</v>
      </c>
      <c r="D49" s="39">
        <f t="shared" ref="C49:V49" si="6">MAX(0,D47)*D48</f>
        <v>0</v>
      </c>
      <c r="E49" s="39">
        <f t="shared" si="6"/>
        <v>0</v>
      </c>
      <c r="F49" s="39">
        <f t="shared" si="6"/>
        <v>0</v>
      </c>
      <c r="G49" s="39">
        <f t="shared" si="6"/>
        <v>0</v>
      </c>
      <c r="H49" s="39">
        <f t="shared" si="6"/>
        <v>0</v>
      </c>
      <c r="I49" s="39">
        <f t="shared" si="6"/>
        <v>0</v>
      </c>
      <c r="J49" s="39">
        <f t="shared" si="6"/>
        <v>0</v>
      </c>
      <c r="K49" s="39">
        <f t="shared" si="6"/>
        <v>0</v>
      </c>
      <c r="L49" s="39">
        <f t="shared" si="6"/>
        <v>0</v>
      </c>
      <c r="M49" s="39">
        <f t="shared" si="6"/>
        <v>0</v>
      </c>
      <c r="N49" s="39">
        <f t="shared" si="6"/>
        <v>0</v>
      </c>
      <c r="O49" s="39">
        <f t="shared" si="6"/>
        <v>0</v>
      </c>
      <c r="P49" s="39">
        <f t="shared" si="6"/>
        <v>0</v>
      </c>
      <c r="Q49" s="39">
        <f t="shared" si="6"/>
        <v>0</v>
      </c>
      <c r="R49" s="39">
        <f t="shared" si="6"/>
        <v>0</v>
      </c>
      <c r="S49" s="39">
        <f t="shared" si="6"/>
        <v>0</v>
      </c>
      <c r="T49" s="39">
        <f t="shared" si="6"/>
        <v>0</v>
      </c>
      <c r="U49" s="39">
        <f t="shared" si="6"/>
        <v>0</v>
      </c>
      <c r="V49" s="39">
        <f t="shared" si="6"/>
        <v>0</v>
      </c>
    </row>
    <row r="50" spans="2:22" x14ac:dyDescent="0.15">
      <c r="B50" s="40" t="s">
        <v>336</v>
      </c>
      <c r="C50" s="18">
        <f>C44-C49</f>
        <v>24293734.273869947</v>
      </c>
      <c r="D50" s="18">
        <f t="shared" ref="C50:V50" si="7">D44-D49</f>
        <v>14409116.467327464</v>
      </c>
      <c r="E50" s="18">
        <f t="shared" si="7"/>
        <v>13181182.448083326</v>
      </c>
      <c r="F50" s="18">
        <f t="shared" si="7"/>
        <v>12444794.055490013</v>
      </c>
      <c r="G50" s="18">
        <f t="shared" si="7"/>
        <v>10745180.71003215</v>
      </c>
      <c r="H50" s="18">
        <f t="shared" si="7"/>
        <v>10177118.504362665</v>
      </c>
      <c r="I50" s="18">
        <f t="shared" si="7"/>
        <v>9581549.3732280806</v>
      </c>
      <c r="J50" s="18">
        <f t="shared" si="7"/>
        <v>8957474.0957762673</v>
      </c>
      <c r="K50" s="18">
        <f t="shared" si="7"/>
        <v>8008314.6186860055</v>
      </c>
      <c r="L50" s="18">
        <f t="shared" si="7"/>
        <v>7324092.9349888191</v>
      </c>
      <c r="M50" s="18">
        <f t="shared" si="7"/>
        <v>6608159.9259938076</v>
      </c>
      <c r="N50" s="18">
        <f t="shared" si="7"/>
        <v>5859374.1651044264</v>
      </c>
      <c r="O50" s="18">
        <f t="shared" si="7"/>
        <v>5076555.6822755113</v>
      </c>
      <c r="P50" s="18">
        <f t="shared" si="7"/>
        <v>4258484.687818937</v>
      </c>
      <c r="Q50" s="18">
        <f t="shared" si="7"/>
        <v>3403900.2542226985</v>
      </c>
      <c r="R50" s="18">
        <f t="shared" si="7"/>
        <v>2511498.9546053186</v>
      </c>
      <c r="S50" s="18">
        <f t="shared" si="7"/>
        <v>1579933.4563819021</v>
      </c>
      <c r="T50" s="18">
        <f t="shared" si="7"/>
        <v>607811.06867132336</v>
      </c>
      <c r="U50" s="18">
        <f t="shared" si="7"/>
        <v>-406307.75807367265</v>
      </c>
      <c r="V50" s="18">
        <f t="shared" si="7"/>
        <v>-1463910.9817822948</v>
      </c>
    </row>
  </sheetData>
  <mergeCells count="7">
    <mergeCell ref="B37:V37"/>
    <mergeCell ref="B43:V43"/>
    <mergeCell ref="B2:V3"/>
    <mergeCell ref="B6:V6"/>
    <mergeCell ref="B11:V11"/>
    <mergeCell ref="B18:V18"/>
    <mergeCell ref="B30:V30"/>
  </mergeCells>
  <hyperlinks>
    <hyperlink ref="D5" location="Cover!A1" display="&lt;&lt;&lt;&lt;" xr:uid="{1D40AD17-F5F5-094D-9365-75A6A3CAA26A}"/>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F6B69"/>
  </sheetPr>
  <dimension ref="B2:V52"/>
  <sheetViews>
    <sheetView showGridLines="0" zoomScaleNormal="100" workbookViewId="0">
      <pane xSplit="2" ySplit="6" topLeftCell="C7" activePane="bottomRight" state="frozen"/>
      <selection activeCell="H27" sqref="H27"/>
      <selection pane="topRight" activeCell="H27" sqref="H27"/>
      <selection pane="bottomLeft" activeCell="H27" sqref="H27"/>
      <selection pane="bottomRight" activeCell="K47" sqref="K47"/>
    </sheetView>
  </sheetViews>
  <sheetFormatPr baseColWidth="10" defaultColWidth="8.6640625" defaultRowHeight="14" x14ac:dyDescent="0.15"/>
  <cols>
    <col min="1" max="1" width="2" style="2" customWidth="1"/>
    <col min="2" max="2" width="42" style="2" customWidth="1"/>
    <col min="3" max="22" width="13" style="2" customWidth="1"/>
    <col min="23" max="16384" width="8.6640625" style="2"/>
  </cols>
  <sheetData>
    <row r="2" spans="2:22" x14ac:dyDescent="0.15">
      <c r="B2" s="53" t="s">
        <v>337</v>
      </c>
      <c r="C2" s="53"/>
      <c r="D2" s="53"/>
      <c r="E2" s="53"/>
      <c r="F2" s="53"/>
      <c r="G2" s="53"/>
      <c r="H2" s="53"/>
      <c r="I2" s="53"/>
      <c r="J2" s="53"/>
      <c r="K2" s="53"/>
      <c r="L2" s="53"/>
      <c r="M2" s="53"/>
      <c r="N2" s="53"/>
      <c r="O2" s="53"/>
      <c r="P2" s="53"/>
      <c r="Q2" s="53"/>
      <c r="R2" s="53"/>
      <c r="S2" s="53"/>
      <c r="T2" s="53"/>
      <c r="U2" s="53"/>
      <c r="V2" s="53"/>
    </row>
    <row r="3" spans="2:22" x14ac:dyDescent="0.15">
      <c r="B3" s="53"/>
      <c r="C3" s="53"/>
      <c r="D3" s="53"/>
      <c r="E3" s="53"/>
      <c r="F3" s="53"/>
      <c r="G3" s="53"/>
      <c r="H3" s="53"/>
      <c r="I3" s="53"/>
      <c r="J3" s="53"/>
      <c r="K3" s="53"/>
      <c r="L3" s="53"/>
      <c r="M3" s="53"/>
      <c r="N3" s="53"/>
      <c r="O3" s="53"/>
      <c r="P3" s="53"/>
      <c r="Q3" s="53"/>
      <c r="R3" s="53"/>
      <c r="S3" s="53"/>
      <c r="T3" s="53"/>
      <c r="U3" s="53"/>
      <c r="V3" s="53"/>
    </row>
    <row r="4" spans="2:22" x14ac:dyDescent="0.15">
      <c r="B4" s="28" t="s">
        <v>338</v>
      </c>
    </row>
    <row r="5" spans="2:22" ht="16" x14ac:dyDescent="0.2">
      <c r="B5" s="3" t="s">
        <v>33</v>
      </c>
      <c r="C5" s="4" t="str">
        <f>Cover!$C$9</f>
        <v>Base</v>
      </c>
      <c r="D5" s="84" t="s">
        <v>683</v>
      </c>
    </row>
    <row r="6" spans="2:22" x14ac:dyDescent="0.15">
      <c r="B6" s="54" t="s">
        <v>339</v>
      </c>
      <c r="C6" s="54"/>
      <c r="D6" s="54"/>
      <c r="E6" s="54"/>
      <c r="F6" s="54"/>
      <c r="G6" s="54"/>
      <c r="H6" s="54"/>
      <c r="I6" s="54"/>
      <c r="J6" s="54"/>
      <c r="K6" s="54"/>
      <c r="L6" s="54"/>
      <c r="M6" s="54"/>
      <c r="N6" s="54"/>
      <c r="O6" s="54"/>
      <c r="P6" s="54"/>
      <c r="Q6" s="54"/>
      <c r="R6" s="54"/>
      <c r="S6" s="54"/>
      <c r="T6" s="54"/>
      <c r="U6" s="54"/>
      <c r="V6" s="54"/>
    </row>
    <row r="7" spans="2:22" x14ac:dyDescent="0.15">
      <c r="B7" s="41" t="s">
        <v>243</v>
      </c>
      <c r="C7" s="58">
        <v>1</v>
      </c>
      <c r="D7" s="58">
        <v>2</v>
      </c>
      <c r="E7" s="58">
        <v>3</v>
      </c>
      <c r="F7" s="58">
        <v>4</v>
      </c>
      <c r="G7" s="58">
        <v>5</v>
      </c>
      <c r="H7" s="58">
        <v>6</v>
      </c>
      <c r="I7" s="58">
        <v>7</v>
      </c>
      <c r="J7" s="58">
        <v>8</v>
      </c>
      <c r="K7" s="58">
        <v>9</v>
      </c>
      <c r="L7" s="58">
        <v>10</v>
      </c>
      <c r="M7" s="58">
        <v>11</v>
      </c>
      <c r="N7" s="58">
        <v>12</v>
      </c>
      <c r="O7" s="58">
        <v>13</v>
      </c>
      <c r="P7" s="58">
        <v>14</v>
      </c>
      <c r="Q7" s="58">
        <v>15</v>
      </c>
      <c r="R7" s="58">
        <v>16</v>
      </c>
      <c r="S7" s="58">
        <v>17</v>
      </c>
      <c r="T7" s="58">
        <v>18</v>
      </c>
      <c r="U7" s="58">
        <v>19</v>
      </c>
      <c r="V7" s="58">
        <v>20</v>
      </c>
    </row>
    <row r="8" spans="2:22" x14ac:dyDescent="0.15">
      <c r="B8" s="8" t="s">
        <v>340</v>
      </c>
      <c r="C8" s="39">
        <f>Construction!$D$46</f>
        <v>126530823.25658485</v>
      </c>
      <c r="D8" s="39">
        <f t="shared" ref="D8:V8" si="0">C14</f>
        <v>113853549.45829575</v>
      </c>
      <c r="E8" s="39">
        <f t="shared" si="0"/>
        <v>108177657.31346674</v>
      </c>
      <c r="F8" s="39">
        <f t="shared" si="0"/>
        <v>103176724.92194617</v>
      </c>
      <c r="G8" s="39">
        <f t="shared" si="0"/>
        <v>98504700.851515532</v>
      </c>
      <c r="H8" s="39">
        <f t="shared" si="0"/>
        <v>94918150.518860862</v>
      </c>
      <c r="I8" s="39">
        <f t="shared" si="0"/>
        <v>91598209.97284317</v>
      </c>
      <c r="J8" s="39">
        <f t="shared" si="0"/>
        <v>88578702.351762384</v>
      </c>
      <c r="K8" s="39">
        <f t="shared" si="0"/>
        <v>85895826.024412423</v>
      </c>
      <c r="L8" s="39">
        <f t="shared" si="0"/>
        <v>83815635.746198162</v>
      </c>
      <c r="M8" s="39">
        <f t="shared" si="0"/>
        <v>82162960.801843479</v>
      </c>
      <c r="N8" s="39">
        <f t="shared" si="0"/>
        <v>80982501.49685888</v>
      </c>
      <c r="O8" s="39">
        <f t="shared" si="0"/>
        <v>80321959.421725497</v>
      </c>
      <c r="P8" s="39">
        <f t="shared" si="0"/>
        <v>80232209.661737829</v>
      </c>
      <c r="Q8" s="39">
        <f t="shared" si="0"/>
        <v>80232209.661737829</v>
      </c>
      <c r="R8" s="39">
        <f t="shared" si="0"/>
        <v>80232209.661737829</v>
      </c>
      <c r="S8" s="39">
        <f t="shared" si="0"/>
        <v>80232209.661737829</v>
      </c>
      <c r="T8" s="39">
        <f t="shared" si="0"/>
        <v>80232209.661737829</v>
      </c>
      <c r="U8" s="39">
        <f t="shared" si="0"/>
        <v>80232209.661737829</v>
      </c>
      <c r="V8" s="39">
        <f t="shared" si="0"/>
        <v>80232209.661737829</v>
      </c>
    </row>
    <row r="9" spans="2:22" x14ac:dyDescent="0.15">
      <c r="B9" s="8" t="s">
        <v>341</v>
      </c>
      <c r="C9" s="39">
        <f>C8*Assumptions!$F$42/2</f>
        <v>6010214.1046877801</v>
      </c>
      <c r="D9" s="39">
        <f>D8*Assumptions!$F$42/2</f>
        <v>5408043.5992690483</v>
      </c>
      <c r="E9" s="39">
        <f>E8*Assumptions!$F$42/2</f>
        <v>5138438.7223896701</v>
      </c>
      <c r="F9" s="39">
        <f>F8*Assumptions!$F$42/2</f>
        <v>4900894.433792443</v>
      </c>
      <c r="G9" s="39">
        <f>G8*Assumptions!$F$42/2</f>
        <v>4678973.2904469874</v>
      </c>
      <c r="H9" s="39">
        <f>H8*Assumptions!$F$42/2</f>
        <v>4508612.149645891</v>
      </c>
      <c r="I9" s="39">
        <f>I8*Assumptions!$F$42/2</f>
        <v>4350914.9737100508</v>
      </c>
      <c r="J9" s="39">
        <f>J8*Assumptions!$F$42/2</f>
        <v>4207488.3617087137</v>
      </c>
      <c r="K9" s="39">
        <f>K8*Assumptions!$F$42/2</f>
        <v>4080051.7361595901</v>
      </c>
      <c r="L9" s="39">
        <f>L8*Assumptions!$F$42/2</f>
        <v>3981242.6979444129</v>
      </c>
      <c r="M9" s="39">
        <f>M8*Assumptions!$F$42/2</f>
        <v>3902740.6380875651</v>
      </c>
      <c r="N9" s="39">
        <f>N8*Assumptions!$F$42/2</f>
        <v>3846668.821100797</v>
      </c>
      <c r="O9" s="39">
        <f>O8*Assumptions!$F$42/2</f>
        <v>3815293.0725319609</v>
      </c>
      <c r="P9" s="39">
        <f>P8*Assumptions!$F$42/2</f>
        <v>3811029.9589325469</v>
      </c>
      <c r="Q9" s="39">
        <f>Q8*Assumptions!$F$42/2</f>
        <v>3811029.9589325469</v>
      </c>
      <c r="R9" s="39">
        <f>R8*Assumptions!$F$42/2</f>
        <v>3811029.9589325469</v>
      </c>
      <c r="S9" s="39">
        <f>S8*Assumptions!$F$42/2</f>
        <v>3811029.9589325469</v>
      </c>
      <c r="T9" s="39">
        <f>T8*Assumptions!$F$42/2</f>
        <v>3811029.9589325469</v>
      </c>
      <c r="U9" s="39">
        <f>U8*Assumptions!$F$42/2</f>
        <v>3811029.9589325469</v>
      </c>
      <c r="V9" s="39">
        <f>V8*Assumptions!$F$42/2</f>
        <v>3811029.9589325469</v>
      </c>
    </row>
    <row r="10" spans="2:22" x14ac:dyDescent="0.15">
      <c r="B10" s="8" t="s">
        <v>342</v>
      </c>
      <c r="C10" s="46">
        <f>Operations!C50</f>
        <v>24293734.273869947</v>
      </c>
      <c r="D10" s="46">
        <f>Operations!D50</f>
        <v>14409116.467327464</v>
      </c>
      <c r="E10" s="46">
        <f>Operations!E50</f>
        <v>13181182.448083326</v>
      </c>
      <c r="F10" s="46">
        <f>Operations!F50</f>
        <v>12444794.055490013</v>
      </c>
      <c r="G10" s="46">
        <f>Operations!G50</f>
        <v>10745180.71003215</v>
      </c>
      <c r="H10" s="46">
        <f>Operations!H50</f>
        <v>10177118.504362665</v>
      </c>
      <c r="I10" s="46">
        <f>Operations!I50</f>
        <v>9581549.3732280806</v>
      </c>
      <c r="J10" s="46">
        <f>Operations!J50</f>
        <v>8957474.0957762673</v>
      </c>
      <c r="K10" s="46">
        <f>Operations!K50</f>
        <v>8008314.6186860055</v>
      </c>
      <c r="L10" s="46">
        <f>Operations!L50</f>
        <v>7324092.9349888191</v>
      </c>
      <c r="M10" s="46">
        <f>Operations!M50</f>
        <v>6608159.9259938076</v>
      </c>
      <c r="N10" s="46">
        <f>Operations!N50</f>
        <v>5859374.1651044264</v>
      </c>
      <c r="O10" s="46">
        <f>Operations!O50</f>
        <v>5076555.6822755113</v>
      </c>
      <c r="P10" s="46">
        <f>Operations!P50</f>
        <v>4258484.687818937</v>
      </c>
      <c r="Q10" s="46">
        <f>Operations!Q50</f>
        <v>3403900.2542226985</v>
      </c>
      <c r="R10" s="46">
        <f>Operations!R50</f>
        <v>2511498.9546053186</v>
      </c>
      <c r="S10" s="46">
        <f>Operations!S50</f>
        <v>1579933.4563819021</v>
      </c>
      <c r="T10" s="46">
        <f>Operations!T50</f>
        <v>607811.06867132336</v>
      </c>
      <c r="U10" s="46">
        <f>Operations!U50</f>
        <v>-406307.75807367265</v>
      </c>
      <c r="V10" s="46">
        <f>Operations!V50</f>
        <v>-1463910.9817822948</v>
      </c>
    </row>
    <row r="11" spans="2:22" x14ac:dyDescent="0.15">
      <c r="B11" s="8" t="s">
        <v>343</v>
      </c>
      <c r="C11" s="39">
        <f>C10/Assumptions!$F$45</f>
        <v>18687487.902976882</v>
      </c>
      <c r="D11" s="39">
        <f>D10/Assumptions!$F$45</f>
        <v>11083935.744098049</v>
      </c>
      <c r="E11" s="39">
        <f>E10/Assumptions!$F$45</f>
        <v>10139371.11391025</v>
      </c>
      <c r="F11" s="39">
        <f>F10/Assumptions!$F$45</f>
        <v>9572918.5042230859</v>
      </c>
      <c r="G11" s="39">
        <f>G10/Assumptions!$F$45</f>
        <v>8265523.6231016535</v>
      </c>
      <c r="H11" s="39">
        <f>H10/Assumptions!$F$45</f>
        <v>7828552.6956635881</v>
      </c>
      <c r="I11" s="39">
        <f>I10/Assumptions!$F$45</f>
        <v>7370422.5947908312</v>
      </c>
      <c r="J11" s="39">
        <f>J10/Assumptions!$F$45</f>
        <v>6890364.689058667</v>
      </c>
      <c r="K11" s="39">
        <f>K10/Assumptions!$F$45</f>
        <v>6160242.0143738501</v>
      </c>
      <c r="L11" s="39">
        <f>L10/Assumptions!$F$45</f>
        <v>5633917.6422990914</v>
      </c>
      <c r="M11" s="39">
        <f>M10/Assumptions!$F$45</f>
        <v>5083199.9430721598</v>
      </c>
      <c r="N11" s="39">
        <f>N10/Assumptions!$F$45</f>
        <v>4507210.8962341743</v>
      </c>
      <c r="O11" s="39">
        <f>O10/Assumptions!$F$45</f>
        <v>3905042.8325196239</v>
      </c>
      <c r="P11" s="39">
        <f>P10/Assumptions!$F$45</f>
        <v>3275757.452168413</v>
      </c>
      <c r="Q11" s="39">
        <f>Q10/Assumptions!$F$45</f>
        <v>2618384.8109405371</v>
      </c>
      <c r="R11" s="39">
        <f>R10/Assumptions!$F$45</f>
        <v>1931922.272773322</v>
      </c>
      <c r="S11" s="39">
        <f>S10/Assumptions!$F$45</f>
        <v>1215333.4279860784</v>
      </c>
      <c r="T11" s="39">
        <f>T10/Assumptions!$F$45</f>
        <v>467546.97590101796</v>
      </c>
      <c r="U11" s="39">
        <f>U10/Assumptions!$F$45</f>
        <v>-312544.42928744049</v>
      </c>
      <c r="V11" s="39">
        <f>V10/Assumptions!$F$45</f>
        <v>-1126085.3706017651</v>
      </c>
    </row>
    <row r="12" spans="2:22" x14ac:dyDescent="0.15">
      <c r="B12" s="8" t="s">
        <v>344</v>
      </c>
      <c r="C12" s="55">
        <f>MAX(0,MIN(C8,C11-C9))</f>
        <v>12677273.798289102</v>
      </c>
      <c r="D12" s="55">
        <f t="shared" ref="C12:U12" si="1">MAX(0,MIN(D8,D11-D9))</f>
        <v>5675892.1448290003</v>
      </c>
      <c r="E12" s="55">
        <f t="shared" si="1"/>
        <v>5000932.3915205803</v>
      </c>
      <c r="F12" s="55">
        <f t="shared" si="1"/>
        <v>4672024.0704306429</v>
      </c>
      <c r="G12" s="55">
        <f t="shared" si="1"/>
        <v>3586550.3326546662</v>
      </c>
      <c r="H12" s="55">
        <f t="shared" si="1"/>
        <v>3319940.5460176971</v>
      </c>
      <c r="I12" s="55">
        <f t="shared" si="1"/>
        <v>3019507.6210807804</v>
      </c>
      <c r="J12" s="55">
        <f t="shared" si="1"/>
        <v>2682876.3273499534</v>
      </c>
      <c r="K12" s="55">
        <f t="shared" si="1"/>
        <v>2080190.27821426</v>
      </c>
      <c r="L12" s="55">
        <f t="shared" si="1"/>
        <v>1652674.9443546785</v>
      </c>
      <c r="M12" s="55">
        <f t="shared" si="1"/>
        <v>1180459.3049845947</v>
      </c>
      <c r="N12" s="55">
        <f t="shared" si="1"/>
        <v>660542.07513337722</v>
      </c>
      <c r="O12" s="55">
        <f t="shared" si="1"/>
        <v>89749.759987663012</v>
      </c>
      <c r="P12" s="55">
        <f t="shared" si="1"/>
        <v>0</v>
      </c>
      <c r="Q12" s="55">
        <f t="shared" si="1"/>
        <v>0</v>
      </c>
      <c r="R12" s="55">
        <f t="shared" si="1"/>
        <v>0</v>
      </c>
      <c r="S12" s="55">
        <f t="shared" si="1"/>
        <v>0</v>
      </c>
      <c r="T12" s="55">
        <f t="shared" si="1"/>
        <v>0</v>
      </c>
      <c r="U12" s="55">
        <f t="shared" si="1"/>
        <v>0</v>
      </c>
      <c r="V12" s="55">
        <f>V8</f>
        <v>80232209.661737829</v>
      </c>
    </row>
    <row r="13" spans="2:22" x14ac:dyDescent="0.15">
      <c r="B13" s="41" t="s">
        <v>345</v>
      </c>
      <c r="C13" s="55">
        <f t="shared" ref="C13:V13" si="2">C9+C12</f>
        <v>18687487.902976882</v>
      </c>
      <c r="D13" s="55">
        <f t="shared" si="2"/>
        <v>11083935.744098049</v>
      </c>
      <c r="E13" s="55">
        <f t="shared" si="2"/>
        <v>10139371.11391025</v>
      </c>
      <c r="F13" s="55">
        <f t="shared" si="2"/>
        <v>9572918.5042230859</v>
      </c>
      <c r="G13" s="55">
        <f t="shared" si="2"/>
        <v>8265523.6231016535</v>
      </c>
      <c r="H13" s="55">
        <f t="shared" si="2"/>
        <v>7828552.6956635881</v>
      </c>
      <c r="I13" s="55">
        <f t="shared" si="2"/>
        <v>7370422.5947908312</v>
      </c>
      <c r="J13" s="55">
        <f t="shared" si="2"/>
        <v>6890364.689058667</v>
      </c>
      <c r="K13" s="55">
        <f t="shared" si="2"/>
        <v>6160242.0143738501</v>
      </c>
      <c r="L13" s="55">
        <f t="shared" si="2"/>
        <v>5633917.6422990914</v>
      </c>
      <c r="M13" s="55">
        <f t="shared" si="2"/>
        <v>5083199.9430721598</v>
      </c>
      <c r="N13" s="55">
        <f t="shared" si="2"/>
        <v>4507210.8962341743</v>
      </c>
      <c r="O13" s="55">
        <f t="shared" si="2"/>
        <v>3905042.8325196239</v>
      </c>
      <c r="P13" s="55">
        <f t="shared" si="2"/>
        <v>3811029.9589325469</v>
      </c>
      <c r="Q13" s="55">
        <f t="shared" si="2"/>
        <v>3811029.9589325469</v>
      </c>
      <c r="R13" s="55">
        <f t="shared" si="2"/>
        <v>3811029.9589325469</v>
      </c>
      <c r="S13" s="55">
        <f t="shared" si="2"/>
        <v>3811029.9589325469</v>
      </c>
      <c r="T13" s="55">
        <f t="shared" si="2"/>
        <v>3811029.9589325469</v>
      </c>
      <c r="U13" s="55">
        <f t="shared" si="2"/>
        <v>3811029.9589325469</v>
      </c>
      <c r="V13" s="55">
        <f t="shared" si="2"/>
        <v>84043239.620670378</v>
      </c>
    </row>
    <row r="14" spans="2:22" x14ac:dyDescent="0.15">
      <c r="B14" s="41" t="s">
        <v>346</v>
      </c>
      <c r="C14" s="55">
        <f t="shared" ref="C14:V14" si="3">C8-C12</f>
        <v>113853549.45829575</v>
      </c>
      <c r="D14" s="55">
        <f t="shared" si="3"/>
        <v>108177657.31346674</v>
      </c>
      <c r="E14" s="55">
        <f t="shared" si="3"/>
        <v>103176724.92194617</v>
      </c>
      <c r="F14" s="55">
        <f t="shared" si="3"/>
        <v>98504700.851515532</v>
      </c>
      <c r="G14" s="55">
        <f t="shared" si="3"/>
        <v>94918150.518860862</v>
      </c>
      <c r="H14" s="55">
        <f t="shared" si="3"/>
        <v>91598209.97284317</v>
      </c>
      <c r="I14" s="55">
        <f t="shared" si="3"/>
        <v>88578702.351762384</v>
      </c>
      <c r="J14" s="55">
        <f t="shared" si="3"/>
        <v>85895826.024412423</v>
      </c>
      <c r="K14" s="55">
        <f t="shared" si="3"/>
        <v>83815635.746198162</v>
      </c>
      <c r="L14" s="55">
        <f t="shared" si="3"/>
        <v>82162960.801843479</v>
      </c>
      <c r="M14" s="55">
        <f t="shared" si="3"/>
        <v>80982501.49685888</v>
      </c>
      <c r="N14" s="55">
        <f t="shared" si="3"/>
        <v>80321959.421725497</v>
      </c>
      <c r="O14" s="55">
        <f t="shared" si="3"/>
        <v>80232209.661737829</v>
      </c>
      <c r="P14" s="55">
        <f t="shared" si="3"/>
        <v>80232209.661737829</v>
      </c>
      <c r="Q14" s="55">
        <f t="shared" si="3"/>
        <v>80232209.661737829</v>
      </c>
      <c r="R14" s="55">
        <f t="shared" si="3"/>
        <v>80232209.661737829</v>
      </c>
      <c r="S14" s="55">
        <f t="shared" si="3"/>
        <v>80232209.661737829</v>
      </c>
      <c r="T14" s="55">
        <f t="shared" si="3"/>
        <v>80232209.661737829</v>
      </c>
      <c r="U14" s="55">
        <f t="shared" si="3"/>
        <v>80232209.661737829</v>
      </c>
      <c r="V14" s="55">
        <f t="shared" si="3"/>
        <v>0</v>
      </c>
    </row>
    <row r="15" spans="2:22" x14ac:dyDescent="0.15">
      <c r="B15" s="40" t="s">
        <v>347</v>
      </c>
      <c r="C15" s="22">
        <f t="shared" ref="C15:V15" si="4">IFERROR(C10/C13,"n/a")</f>
        <v>1.3</v>
      </c>
      <c r="D15" s="22">
        <f t="shared" si="4"/>
        <v>1.3</v>
      </c>
      <c r="E15" s="22">
        <f t="shared" si="4"/>
        <v>1.3</v>
      </c>
      <c r="F15" s="22">
        <f t="shared" si="4"/>
        <v>1.3000000000000003</v>
      </c>
      <c r="G15" s="22">
        <f t="shared" si="4"/>
        <v>1.3</v>
      </c>
      <c r="H15" s="22">
        <f t="shared" si="4"/>
        <v>1.3</v>
      </c>
      <c r="I15" s="22">
        <f t="shared" si="4"/>
        <v>1.3</v>
      </c>
      <c r="J15" s="22">
        <f t="shared" si="4"/>
        <v>1.3</v>
      </c>
      <c r="K15" s="22">
        <f t="shared" si="4"/>
        <v>1.3</v>
      </c>
      <c r="L15" s="22">
        <f t="shared" si="4"/>
        <v>1.3</v>
      </c>
      <c r="M15" s="22">
        <f t="shared" si="4"/>
        <v>1.3</v>
      </c>
      <c r="N15" s="22">
        <f t="shared" si="4"/>
        <v>1.3</v>
      </c>
      <c r="O15" s="22">
        <f t="shared" si="4"/>
        <v>1.3</v>
      </c>
      <c r="P15" s="22">
        <f>IFERROR(P10/P13,"n/a")</f>
        <v>1.1174104464431238</v>
      </c>
      <c r="Q15" s="22">
        <f t="shared" si="4"/>
        <v>0.89317068900085905</v>
      </c>
      <c r="R15" s="22">
        <f t="shared" si="4"/>
        <v>0.65900792742883041</v>
      </c>
      <c r="S15" s="22">
        <f t="shared" si="4"/>
        <v>0.41456862669860373</v>
      </c>
      <c r="T15" s="22">
        <f t="shared" si="4"/>
        <v>0.15948734993454858</v>
      </c>
      <c r="U15" s="22">
        <f t="shared" si="4"/>
        <v>-0.10661363527760818</v>
      </c>
      <c r="V15" s="22">
        <f t="shared" si="4"/>
        <v>-1.7418545362954414E-2</v>
      </c>
    </row>
    <row r="16" spans="2:22" x14ac:dyDescent="0.15">
      <c r="B16" s="8" t="s">
        <v>348</v>
      </c>
      <c r="C16" s="39">
        <f>C12</f>
        <v>12677273.798289102</v>
      </c>
      <c r="D16" s="39">
        <f t="shared" ref="D16:V16" si="5">C16+D12</f>
        <v>18353165.943118103</v>
      </c>
      <c r="E16" s="39">
        <f t="shared" si="5"/>
        <v>23354098.334638685</v>
      </c>
      <c r="F16" s="39">
        <f t="shared" si="5"/>
        <v>28026122.405069329</v>
      </c>
      <c r="G16" s="39">
        <f t="shared" si="5"/>
        <v>31612672.737723995</v>
      </c>
      <c r="H16" s="39">
        <f t="shared" si="5"/>
        <v>34932613.28374169</v>
      </c>
      <c r="I16" s="39">
        <f t="shared" si="5"/>
        <v>37952120.904822469</v>
      </c>
      <c r="J16" s="39">
        <f t="shared" si="5"/>
        <v>40634997.232172422</v>
      </c>
      <c r="K16" s="39">
        <f t="shared" si="5"/>
        <v>42715187.510386683</v>
      </c>
      <c r="L16" s="39">
        <f t="shared" si="5"/>
        <v>44367862.454741359</v>
      </c>
      <c r="M16" s="39">
        <f t="shared" si="5"/>
        <v>45548321.759725951</v>
      </c>
      <c r="N16" s="39">
        <f t="shared" si="5"/>
        <v>46208863.834859326</v>
      </c>
      <c r="O16" s="39">
        <f t="shared" si="5"/>
        <v>46298613.594846986</v>
      </c>
      <c r="P16" s="39">
        <f t="shared" si="5"/>
        <v>46298613.594846986</v>
      </c>
      <c r="Q16" s="39">
        <f t="shared" si="5"/>
        <v>46298613.594846986</v>
      </c>
      <c r="R16" s="39">
        <f t="shared" si="5"/>
        <v>46298613.594846986</v>
      </c>
      <c r="S16" s="39">
        <f t="shared" si="5"/>
        <v>46298613.594846986</v>
      </c>
      <c r="T16" s="39">
        <f t="shared" si="5"/>
        <v>46298613.594846986</v>
      </c>
      <c r="U16" s="39">
        <f t="shared" si="5"/>
        <v>46298613.594846986</v>
      </c>
      <c r="V16" s="39">
        <f t="shared" si="5"/>
        <v>126530823.25658482</v>
      </c>
    </row>
    <row r="18" spans="2:22" x14ac:dyDescent="0.15">
      <c r="B18" s="54" t="s">
        <v>349</v>
      </c>
      <c r="C18" s="54"/>
      <c r="D18" s="54"/>
      <c r="E18" s="54"/>
      <c r="F18" s="54"/>
      <c r="G18" s="54"/>
      <c r="H18" s="54"/>
      <c r="I18" s="54"/>
      <c r="J18" s="54"/>
      <c r="K18" s="54"/>
      <c r="L18" s="54"/>
      <c r="M18" s="54"/>
      <c r="N18" s="54"/>
      <c r="O18" s="54"/>
      <c r="P18" s="54"/>
      <c r="Q18" s="54"/>
      <c r="R18" s="54"/>
      <c r="S18" s="54"/>
      <c r="T18" s="54"/>
      <c r="U18" s="54"/>
      <c r="V18" s="54"/>
    </row>
    <row r="19" spans="2:22" x14ac:dyDescent="0.15">
      <c r="B19" s="2" t="s">
        <v>350</v>
      </c>
      <c r="D19" s="22">
        <f>MIN(C15:U15)</f>
        <v>-0.10661363527760818</v>
      </c>
    </row>
    <row r="20" spans="2:22" x14ac:dyDescent="0.15">
      <c r="B20" s="2" t="s">
        <v>351</v>
      </c>
      <c r="D20" s="22">
        <f>MIN(C15:V15)</f>
        <v>-0.10661363527760818</v>
      </c>
    </row>
    <row r="21" spans="2:22" x14ac:dyDescent="0.15">
      <c r="B21" s="2" t="s">
        <v>352</v>
      </c>
      <c r="D21" s="22">
        <f>AVERAGE(C15:V15)</f>
        <v>1.0009806429432704</v>
      </c>
    </row>
    <row r="22" spans="2:22" x14ac:dyDescent="0.15">
      <c r="B22" s="2" t="s">
        <v>353</v>
      </c>
      <c r="D22" s="26">
        <f>V14</f>
        <v>0</v>
      </c>
    </row>
    <row r="23" spans="2:22" x14ac:dyDescent="0.15">
      <c r="B23" s="2" t="s">
        <v>354</v>
      </c>
      <c r="D23" s="51">
        <f>Assumptions!$F$45</f>
        <v>1.3</v>
      </c>
    </row>
    <row r="24" spans="2:22" x14ac:dyDescent="0.15">
      <c r="B24" s="59" t="s">
        <v>355</v>
      </c>
      <c r="D24" s="114" t="str">
        <f>IF(D19&gt;=D23-0.001,"OK","FAIL")</f>
        <v>FAIL</v>
      </c>
    </row>
    <row r="26" spans="2:22" x14ac:dyDescent="0.15">
      <c r="B26" s="54" t="s">
        <v>356</v>
      </c>
      <c r="C26" s="54"/>
      <c r="D26" s="54"/>
      <c r="E26" s="54"/>
      <c r="F26" s="54"/>
      <c r="G26" s="54"/>
      <c r="H26" s="54"/>
      <c r="I26" s="54"/>
      <c r="J26" s="54"/>
      <c r="K26" s="54"/>
      <c r="L26" s="54"/>
      <c r="M26" s="54"/>
      <c r="N26" s="54"/>
      <c r="O26" s="54"/>
      <c r="P26" s="54"/>
      <c r="Q26" s="54"/>
      <c r="R26" s="54"/>
      <c r="S26" s="54"/>
      <c r="T26" s="54"/>
      <c r="U26" s="54"/>
      <c r="V26" s="54"/>
    </row>
    <row r="27" spans="2:22" x14ac:dyDescent="0.15">
      <c r="B27" s="2" t="s">
        <v>357</v>
      </c>
      <c r="D27" s="39">
        <f>NPV(Assumptions!$F$42/2,C10:V10)</f>
        <v>112786173.71050258</v>
      </c>
    </row>
    <row r="28" spans="2:22" x14ac:dyDescent="0.15">
      <c r="B28" s="2" t="s">
        <v>358</v>
      </c>
      <c r="D28" s="46">
        <f>Construction!$D$46</f>
        <v>126530823.25658485</v>
      </c>
    </row>
    <row r="29" spans="2:22" x14ac:dyDescent="0.15">
      <c r="B29" s="2" t="s">
        <v>359</v>
      </c>
      <c r="D29" s="22">
        <f>D27/D28</f>
        <v>0.8913731121608981</v>
      </c>
    </row>
    <row r="30" spans="2:22" x14ac:dyDescent="0.15">
      <c r="B30" s="2" t="s">
        <v>360</v>
      </c>
      <c r="D30" s="22">
        <f>D29</f>
        <v>0.8913731121608981</v>
      </c>
    </row>
    <row r="33" spans="2:22" x14ac:dyDescent="0.15">
      <c r="B33" s="54" t="s">
        <v>361</v>
      </c>
      <c r="C33" s="54"/>
      <c r="D33" s="54"/>
      <c r="E33" s="54"/>
      <c r="F33" s="54"/>
      <c r="G33" s="54"/>
      <c r="H33" s="54"/>
      <c r="I33" s="54"/>
      <c r="J33" s="54"/>
      <c r="K33" s="54"/>
      <c r="L33" s="54"/>
      <c r="M33" s="54"/>
      <c r="N33" s="54"/>
      <c r="O33" s="54"/>
      <c r="P33" s="54"/>
      <c r="Q33" s="54"/>
      <c r="R33" s="54"/>
      <c r="S33" s="54"/>
      <c r="T33" s="54"/>
      <c r="U33" s="54"/>
      <c r="V33" s="54"/>
    </row>
    <row r="34" spans="2:22" x14ac:dyDescent="0.15">
      <c r="B34" s="8" t="s">
        <v>243</v>
      </c>
      <c r="C34" s="58">
        <v>1</v>
      </c>
      <c r="D34" s="58">
        <v>2</v>
      </c>
      <c r="E34" s="58">
        <v>3</v>
      </c>
      <c r="F34" s="58">
        <v>4</v>
      </c>
      <c r="G34" s="58">
        <v>5</v>
      </c>
      <c r="H34" s="58">
        <v>6</v>
      </c>
      <c r="I34" s="58">
        <v>7</v>
      </c>
      <c r="J34" s="58">
        <v>8</v>
      </c>
      <c r="K34" s="58">
        <v>9</v>
      </c>
      <c r="L34" s="58">
        <v>10</v>
      </c>
      <c r="M34" s="58">
        <v>11</v>
      </c>
      <c r="N34" s="58">
        <v>12</v>
      </c>
      <c r="O34" s="58">
        <v>13</v>
      </c>
      <c r="P34" s="58">
        <v>14</v>
      </c>
      <c r="Q34" s="58">
        <v>15</v>
      </c>
      <c r="R34" s="58">
        <v>16</v>
      </c>
      <c r="S34" s="58">
        <v>17</v>
      </c>
      <c r="T34" s="58">
        <v>18</v>
      </c>
      <c r="U34" s="58">
        <v>19</v>
      </c>
      <c r="V34" s="58">
        <v>20</v>
      </c>
    </row>
    <row r="35" spans="2:22" x14ac:dyDescent="0.15">
      <c r="B35" s="8" t="s">
        <v>362</v>
      </c>
      <c r="C35" s="39">
        <f>Construction!$D$56</f>
        <v>32212322.577479877</v>
      </c>
      <c r="D35" s="39">
        <f t="shared" ref="D35:V35" si="6">C40</f>
        <v>31960416.368371516</v>
      </c>
      <c r="E35" s="39">
        <f t="shared" si="6"/>
        <v>24800130.389133103</v>
      </c>
      <c r="F35" s="39">
        <f t="shared" si="6"/>
        <v>24186106.819072302</v>
      </c>
      <c r="G35" s="39">
        <f t="shared" si="6"/>
        <v>24191449.218301393</v>
      </c>
      <c r="H35" s="39">
        <f t="shared" si="6"/>
        <v>25799625.144193582</v>
      </c>
      <c r="I35" s="39">
        <f t="shared" si="6"/>
        <v>26779723.072568428</v>
      </c>
      <c r="J35" s="39">
        <f t="shared" si="6"/>
        <v>28402375.278022729</v>
      </c>
      <c r="K35" s="39">
        <f t="shared" si="6"/>
        <v>29827997.679350197</v>
      </c>
      <c r="L35" s="39">
        <f t="shared" si="6"/>
        <v>31725235.163501184</v>
      </c>
      <c r="M35" s="39">
        <f t="shared" si="6"/>
        <v>33739637.120272368</v>
      </c>
      <c r="N35" s="39">
        <f t="shared" si="6"/>
        <v>36101411.718691431</v>
      </c>
      <c r="O35" s="39">
        <f t="shared" si="6"/>
        <v>38628510.538999833</v>
      </c>
      <c r="P35" s="39">
        <f t="shared" si="6"/>
        <v>41332506.276729822</v>
      </c>
      <c r="Q35" s="39">
        <f t="shared" si="6"/>
        <v>44225781.716100909</v>
      </c>
      <c r="R35" s="39">
        <f t="shared" si="6"/>
        <v>47321586.43622797</v>
      </c>
      <c r="S35" s="39">
        <f t="shared" si="6"/>
        <v>50634097.486763924</v>
      </c>
      <c r="T35" s="39">
        <f t="shared" si="6"/>
        <v>54178484.310837403</v>
      </c>
      <c r="U35" s="39">
        <f t="shared" si="6"/>
        <v>57970978.212596022</v>
      </c>
      <c r="V35" s="39">
        <f t="shared" si="6"/>
        <v>62028946.687477745</v>
      </c>
    </row>
    <row r="36" spans="2:22" x14ac:dyDescent="0.15">
      <c r="B36" s="8" t="s">
        <v>363</v>
      </c>
      <c r="C36" s="39">
        <f>C35*Assumptions!$F$76/2</f>
        <v>2254862.5804235917</v>
      </c>
      <c r="D36" s="39">
        <f>D35*Assumptions!$F$76/2</f>
        <v>2237229.1457860065</v>
      </c>
      <c r="E36" s="39">
        <f>E35*Assumptions!$F$76/2</f>
        <v>1736009.1272393174</v>
      </c>
      <c r="F36" s="39">
        <f>F35*Assumptions!$F$76/2</f>
        <v>1693027.4773350614</v>
      </c>
      <c r="G36" s="39">
        <f>G35*Assumptions!$F$76/2</f>
        <v>1693401.4452810977</v>
      </c>
      <c r="H36" s="39">
        <f>H35*Assumptions!$F$76/2</f>
        <v>1805973.7600935509</v>
      </c>
      <c r="I36" s="39">
        <f>I35*Assumptions!$F$76/2</f>
        <v>1874580.6150797901</v>
      </c>
      <c r="J36" s="39">
        <f>J35*Assumptions!$F$76/2</f>
        <v>1988166.2694615913</v>
      </c>
      <c r="K36" s="39">
        <f>K35*Assumptions!$F$76/2</f>
        <v>2087959.8375545139</v>
      </c>
      <c r="L36" s="39">
        <f>L35*Assumptions!$F$76/2</f>
        <v>2220766.4614450829</v>
      </c>
      <c r="M36" s="39">
        <f>M35*Assumptions!$F$76/2</f>
        <v>2361774.5984190661</v>
      </c>
      <c r="N36" s="39">
        <f>N35*Assumptions!$F$76/2</f>
        <v>2527098.8203084003</v>
      </c>
      <c r="O36" s="39">
        <f>O35*Assumptions!$F$76/2</f>
        <v>2703995.7377299885</v>
      </c>
      <c r="P36" s="39">
        <f>P35*Assumptions!$F$76/2</f>
        <v>2893275.4393710881</v>
      </c>
      <c r="Q36" s="39">
        <f>Q35*Assumptions!$F$76/2</f>
        <v>3095804.7201270638</v>
      </c>
      <c r="R36" s="39">
        <f>R35*Assumptions!$F$76/2</f>
        <v>3312511.0505359583</v>
      </c>
      <c r="S36" s="39">
        <f>S35*Assumptions!$F$76/2</f>
        <v>3544386.8240734749</v>
      </c>
      <c r="T36" s="39">
        <f>T35*Assumptions!$F$76/2</f>
        <v>3792493.9017586187</v>
      </c>
      <c r="U36" s="39">
        <f>U35*Assumptions!$F$76/2</f>
        <v>4057968.4748817221</v>
      </c>
      <c r="V36" s="39">
        <f>V35*Assumptions!$F$76/2</f>
        <v>4342026.2681234423</v>
      </c>
    </row>
    <row r="37" spans="2:22" x14ac:dyDescent="0.15">
      <c r="B37" s="8" t="s">
        <v>364</v>
      </c>
      <c r="C37" s="39">
        <f>Waterfall!C30</f>
        <v>2506768.7895319508</v>
      </c>
      <c r="D37" s="39">
        <f>Waterfall!D30</f>
        <v>9397515.1250244193</v>
      </c>
      <c r="E37" s="39">
        <f>Waterfall!E30</f>
        <v>2350032.6973001175</v>
      </c>
      <c r="F37" s="39">
        <f>Waterfall!F30</f>
        <v>1687685.0781059721</v>
      </c>
      <c r="G37" s="39">
        <f>Waterfall!G30</f>
        <v>85225.519388906541</v>
      </c>
      <c r="H37" s="39">
        <f>Waterfall!H30</f>
        <v>825875.83171870629</v>
      </c>
      <c r="I37" s="39">
        <f>Waterfall!I30</f>
        <v>251928.40962548903</v>
      </c>
      <c r="J37" s="39">
        <f>Waterfall!J30</f>
        <v>562543.86813412257</v>
      </c>
      <c r="K37" s="39">
        <f>Waterfall!K30</f>
        <v>190722.35340352834</v>
      </c>
      <c r="L37" s="39">
        <f>Waterfall!L30</f>
        <v>206364.50467390032</v>
      </c>
      <c r="M37" s="39">
        <f>Waterfall!M30</f>
        <v>-429166.81625046965</v>
      </c>
      <c r="N37" s="39">
        <f>Waterfall!N30</f>
        <v>-108055.81790434127</v>
      </c>
      <c r="O37" s="39">
        <f>Waterfall!O30</f>
        <v>-777207.98089880461</v>
      </c>
      <c r="P37" s="39">
        <f>Waterfall!P30</f>
        <v>-1521387.1100785886</v>
      </c>
      <c r="Q37" s="39">
        <f>Waterfall!Q30</f>
        <v>-3005681.8262276198</v>
      </c>
      <c r="R37" s="39">
        <f>Waterfall!R30</f>
        <v>-3389618.5205554292</v>
      </c>
      <c r="S37" s="39">
        <f>Waterfall!S30</f>
        <v>-4879006.6869790684</v>
      </c>
      <c r="T37" s="39">
        <f>Waterfall!T30</f>
        <v>-5321138.3318464449</v>
      </c>
      <c r="U37" s="39">
        <f>Waterfall!U30</f>
        <v>-6916381.1694784658</v>
      </c>
      <c r="V37" s="39">
        <f>Waterfall!V30</f>
        <v>-83842484.312820211</v>
      </c>
    </row>
    <row r="38" spans="2:22" x14ac:dyDescent="0.15">
      <c r="B38" s="8" t="s">
        <v>365</v>
      </c>
      <c r="C38" s="55">
        <f>MAX(0,MIN(C35,C37-C51))</f>
        <v>251906.20910835918</v>
      </c>
      <c r="D38" s="55">
        <f t="shared" ref="C38:U38" si="7">MAX(0,MIN(D35,D37-D51))</f>
        <v>7160285.9792384133</v>
      </c>
      <c r="E38" s="55">
        <f>MAX(0,MIN(E35,E37-E51))</f>
        <v>614023.57006080006</v>
      </c>
      <c r="F38" s="55">
        <f t="shared" si="7"/>
        <v>0</v>
      </c>
      <c r="G38" s="55">
        <f t="shared" si="7"/>
        <v>0</v>
      </c>
      <c r="H38" s="55">
        <f t="shared" si="7"/>
        <v>0</v>
      </c>
      <c r="I38" s="55">
        <f t="shared" si="7"/>
        <v>0</v>
      </c>
      <c r="J38" s="55">
        <f t="shared" si="7"/>
        <v>0</v>
      </c>
      <c r="K38" s="55">
        <f t="shared" si="7"/>
        <v>0</v>
      </c>
      <c r="L38" s="55">
        <f t="shared" si="7"/>
        <v>0</v>
      </c>
      <c r="M38" s="55">
        <f t="shared" si="7"/>
        <v>0</v>
      </c>
      <c r="N38" s="55">
        <f t="shared" si="7"/>
        <v>0</v>
      </c>
      <c r="O38" s="55">
        <f t="shared" si="7"/>
        <v>0</v>
      </c>
      <c r="P38" s="55">
        <f t="shared" si="7"/>
        <v>0</v>
      </c>
      <c r="Q38" s="55">
        <f t="shared" si="7"/>
        <v>0</v>
      </c>
      <c r="R38" s="55">
        <f>MAX(0,MIN(R35,R37-R51))</f>
        <v>0</v>
      </c>
      <c r="S38" s="55">
        <f t="shared" si="7"/>
        <v>0</v>
      </c>
      <c r="T38" s="55">
        <f t="shared" si="7"/>
        <v>0</v>
      </c>
      <c r="U38" s="55">
        <f t="shared" si="7"/>
        <v>0</v>
      </c>
      <c r="V38" s="55">
        <f>V35</f>
        <v>62028946.687477745</v>
      </c>
    </row>
    <row r="39" spans="2:22" x14ac:dyDescent="0.15">
      <c r="B39" s="41" t="s">
        <v>366</v>
      </c>
      <c r="C39" s="55">
        <f t="shared" ref="C39:V39" si="8">C51+C38</f>
        <v>2506768.7895319508</v>
      </c>
      <c r="D39" s="55">
        <f t="shared" si="8"/>
        <v>9397515.1250244193</v>
      </c>
      <c r="E39" s="55">
        <f t="shared" si="8"/>
        <v>2350032.6973001175</v>
      </c>
      <c r="F39" s="55">
        <f t="shared" si="8"/>
        <v>1687685.0781059721</v>
      </c>
      <c r="G39" s="55">
        <f t="shared" si="8"/>
        <v>85225.519388906541</v>
      </c>
      <c r="H39" s="55">
        <f t="shared" si="8"/>
        <v>825875.83171870629</v>
      </c>
      <c r="I39" s="55">
        <f t="shared" si="8"/>
        <v>251928.40962548903</v>
      </c>
      <c r="J39" s="55">
        <f t="shared" si="8"/>
        <v>562543.86813412257</v>
      </c>
      <c r="K39" s="55">
        <f t="shared" si="8"/>
        <v>190722.35340352834</v>
      </c>
      <c r="L39" s="55">
        <f t="shared" si="8"/>
        <v>206364.50467390032</v>
      </c>
      <c r="M39" s="55">
        <f t="shared" si="8"/>
        <v>0</v>
      </c>
      <c r="N39" s="55">
        <f t="shared" si="8"/>
        <v>0</v>
      </c>
      <c r="O39" s="55">
        <f t="shared" si="8"/>
        <v>0</v>
      </c>
      <c r="P39" s="55">
        <f t="shared" si="8"/>
        <v>0</v>
      </c>
      <c r="Q39" s="55">
        <f t="shared" si="8"/>
        <v>0</v>
      </c>
      <c r="R39" s="55">
        <f t="shared" si="8"/>
        <v>0</v>
      </c>
      <c r="S39" s="55">
        <f t="shared" si="8"/>
        <v>0</v>
      </c>
      <c r="T39" s="55">
        <f t="shared" si="8"/>
        <v>0</v>
      </c>
      <c r="U39" s="55">
        <f t="shared" si="8"/>
        <v>0</v>
      </c>
      <c r="V39" s="55">
        <f t="shared" si="8"/>
        <v>66370972.955601186</v>
      </c>
    </row>
    <row r="40" spans="2:22" x14ac:dyDescent="0.15">
      <c r="B40" s="41" t="s">
        <v>367</v>
      </c>
      <c r="C40" s="55">
        <f t="shared" ref="C40:V40" si="9">C35+C52-C38</f>
        <v>31960416.368371516</v>
      </c>
      <c r="D40" s="55">
        <f t="shared" si="9"/>
        <v>24800130.389133103</v>
      </c>
      <c r="E40" s="55">
        <f t="shared" si="9"/>
        <v>24186106.819072302</v>
      </c>
      <c r="F40" s="55">
        <f t="shared" si="9"/>
        <v>24191449.218301393</v>
      </c>
      <c r="G40" s="55">
        <f t="shared" si="9"/>
        <v>25799625.144193582</v>
      </c>
      <c r="H40" s="55">
        <f t="shared" si="9"/>
        <v>26779723.072568428</v>
      </c>
      <c r="I40" s="55">
        <f t="shared" si="9"/>
        <v>28402375.278022729</v>
      </c>
      <c r="J40" s="55">
        <f t="shared" si="9"/>
        <v>29827997.679350197</v>
      </c>
      <c r="K40" s="55">
        <f t="shared" si="9"/>
        <v>31725235.163501184</v>
      </c>
      <c r="L40" s="55">
        <f t="shared" si="9"/>
        <v>33739637.120272368</v>
      </c>
      <c r="M40" s="55">
        <f t="shared" si="9"/>
        <v>36101411.718691431</v>
      </c>
      <c r="N40" s="55">
        <f t="shared" si="9"/>
        <v>38628510.538999833</v>
      </c>
      <c r="O40" s="55">
        <f t="shared" si="9"/>
        <v>41332506.276729822</v>
      </c>
      <c r="P40" s="55">
        <f t="shared" si="9"/>
        <v>44225781.716100909</v>
      </c>
      <c r="Q40" s="55">
        <f t="shared" si="9"/>
        <v>47321586.43622797</v>
      </c>
      <c r="R40" s="55">
        <f t="shared" si="9"/>
        <v>50634097.486763924</v>
      </c>
      <c r="S40" s="55">
        <f t="shared" si="9"/>
        <v>54178484.310837403</v>
      </c>
      <c r="T40" s="55">
        <f t="shared" si="9"/>
        <v>57970978.212596022</v>
      </c>
      <c r="U40" s="55">
        <f t="shared" si="9"/>
        <v>62028946.687477745</v>
      </c>
      <c r="V40" s="55">
        <f t="shared" si="9"/>
        <v>0</v>
      </c>
    </row>
    <row r="42" spans="2:22" x14ac:dyDescent="0.15">
      <c r="B42" s="54" t="s">
        <v>368</v>
      </c>
      <c r="C42" s="54"/>
      <c r="D42" s="54"/>
      <c r="E42" s="54"/>
      <c r="F42" s="54"/>
      <c r="G42" s="54"/>
      <c r="H42" s="54"/>
      <c r="I42" s="54"/>
      <c r="J42" s="54"/>
      <c r="K42" s="54"/>
      <c r="L42" s="54"/>
      <c r="M42" s="54"/>
      <c r="N42" s="54"/>
      <c r="O42" s="54"/>
      <c r="P42" s="54"/>
      <c r="Q42" s="54"/>
      <c r="R42" s="54"/>
      <c r="S42" s="54"/>
      <c r="T42" s="54"/>
      <c r="U42" s="54"/>
      <c r="V42" s="54"/>
    </row>
    <row r="43" spans="2:22" x14ac:dyDescent="0.15">
      <c r="B43" s="8" t="s">
        <v>369</v>
      </c>
      <c r="C43" s="39">
        <f>Operations!C44*2</f>
        <v>48587468.547739893</v>
      </c>
      <c r="D43" s="39">
        <f>Operations!D44*2</f>
        <v>28818232.934654929</v>
      </c>
      <c r="E43" s="39">
        <f>Operations!E44*2</f>
        <v>26362364.896166652</v>
      </c>
      <c r="F43" s="39">
        <f>Operations!F44*2</f>
        <v>24889588.110980026</v>
      </c>
      <c r="G43" s="39">
        <f>Operations!G44*2</f>
        <v>21490361.4200643</v>
      </c>
      <c r="H43" s="39">
        <f>Operations!H44*2</f>
        <v>20354237.00872533</v>
      </c>
      <c r="I43" s="39">
        <f>Operations!I44*2</f>
        <v>19163098.746456161</v>
      </c>
      <c r="J43" s="39">
        <f>Operations!J44*2</f>
        <v>17914948.191552535</v>
      </c>
      <c r="K43" s="39">
        <f>Operations!K44*2</f>
        <v>16016629.237372011</v>
      </c>
      <c r="L43" s="39">
        <f>Operations!L44*2</f>
        <v>14648185.869977638</v>
      </c>
      <c r="M43" s="39">
        <f>Operations!M44*2</f>
        <v>13216319.851987615</v>
      </c>
      <c r="N43" s="39">
        <f>Operations!N44*2</f>
        <v>11718748.330208853</v>
      </c>
      <c r="O43" s="39">
        <f>Operations!O44*2</f>
        <v>10153111.364551023</v>
      </c>
      <c r="P43" s="39">
        <f>Operations!P44*2</f>
        <v>8516969.375637874</v>
      </c>
      <c r="Q43" s="39">
        <f>Operations!Q44*2</f>
        <v>6807800.508445397</v>
      </c>
      <c r="R43" s="39">
        <f>Operations!R44*2</f>
        <v>5022997.9092106372</v>
      </c>
      <c r="S43" s="39">
        <f>Operations!S44*2</f>
        <v>3159866.9127638042</v>
      </c>
      <c r="T43" s="39">
        <f>Operations!T44*2</f>
        <v>1215622.1373426467</v>
      </c>
      <c r="U43" s="39">
        <f>Operations!U44*2</f>
        <v>-812615.5161473453</v>
      </c>
      <c r="V43" s="39">
        <f>Operations!V44*2</f>
        <v>-2927821.9635645896</v>
      </c>
    </row>
    <row r="44" spans="2:22" x14ac:dyDescent="0.15">
      <c r="B44" s="8" t="s">
        <v>370</v>
      </c>
      <c r="C44" s="60">
        <f>C8/C43</f>
        <v>2.6041863681838309</v>
      </c>
      <c r="D44" s="60">
        <f t="shared" ref="C44:V44" si="10">D8/D43</f>
        <v>3.9507470744808537</v>
      </c>
      <c r="E44" s="60">
        <f t="shared" si="10"/>
        <v>4.1034883531711088</v>
      </c>
      <c r="F44" s="60">
        <f t="shared" si="10"/>
        <v>4.1453769528805431</v>
      </c>
      <c r="G44" s="60">
        <f t="shared" si="10"/>
        <v>4.5836688795539482</v>
      </c>
      <c r="H44" s="60">
        <f t="shared" si="10"/>
        <v>4.6633116475047398</v>
      </c>
      <c r="I44" s="60">
        <f t="shared" si="10"/>
        <v>4.7799268367169718</v>
      </c>
      <c r="J44" s="60">
        <f t="shared" si="10"/>
        <v>4.9444018148782618</v>
      </c>
      <c r="K44" s="60">
        <f t="shared" si="10"/>
        <v>5.3629153020530369</v>
      </c>
      <c r="L44" s="60">
        <f t="shared" si="10"/>
        <v>5.7219123576239896</v>
      </c>
      <c r="M44" s="60">
        <f t="shared" si="10"/>
        <v>6.2167805956577933</v>
      </c>
      <c r="N44" s="60">
        <f t="shared" si="10"/>
        <v>6.9105077790688929</v>
      </c>
      <c r="O44" s="60">
        <f t="shared" si="10"/>
        <v>7.91106849297101</v>
      </c>
      <c r="P44" s="60">
        <f t="shared" si="10"/>
        <v>9.420276875861008</v>
      </c>
      <c r="Q44" s="60">
        <f t="shared" si="10"/>
        <v>11.785335008304958</v>
      </c>
      <c r="R44" s="60">
        <f t="shared" si="10"/>
        <v>15.972972936066043</v>
      </c>
      <c r="S44" s="60">
        <f t="shared" si="10"/>
        <v>25.391009139546973</v>
      </c>
      <c r="T44" s="60">
        <f t="shared" si="10"/>
        <v>66.000944863611693</v>
      </c>
      <c r="U44" s="60">
        <f t="shared" si="10"/>
        <v>-98.733297688091326</v>
      </c>
      <c r="V44" s="60">
        <f t="shared" si="10"/>
        <v>-27.403377206739727</v>
      </c>
    </row>
    <row r="45" spans="2:22" x14ac:dyDescent="0.15">
      <c r="B45" s="8" t="s">
        <v>371</v>
      </c>
      <c r="C45" s="60">
        <f>(C8+C35)/C43</f>
        <v>3.2671623070481792</v>
      </c>
      <c r="D45" s="60">
        <f t="shared" ref="C45:V45" si="11">(D8+D35)/D43</f>
        <v>5.0597816374549769</v>
      </c>
      <c r="E45" s="60">
        <f t="shared" si="11"/>
        <v>5.0442283242174577</v>
      </c>
      <c r="F45" s="60">
        <f t="shared" si="11"/>
        <v>5.1171128735887939</v>
      </c>
      <c r="G45" s="60">
        <f t="shared" si="11"/>
        <v>5.7093572170109086</v>
      </c>
      <c r="H45" s="60">
        <f t="shared" si="11"/>
        <v>5.9308425863030818</v>
      </c>
      <c r="I45" s="60">
        <f t="shared" si="11"/>
        <v>6.177389920683015</v>
      </c>
      <c r="J45" s="60">
        <f t="shared" si="11"/>
        <v>6.5298027311597471</v>
      </c>
      <c r="K45" s="60">
        <f t="shared" si="11"/>
        <v>7.2252296028518446</v>
      </c>
      <c r="L45" s="60">
        <f t="shared" si="11"/>
        <v>7.8877256156687299</v>
      </c>
      <c r="M45" s="60">
        <f t="shared" si="11"/>
        <v>8.7696574553380788</v>
      </c>
      <c r="N45" s="60">
        <f t="shared" si="11"/>
        <v>9.9911620180227576</v>
      </c>
      <c r="O45" s="60">
        <f t="shared" si="11"/>
        <v>11.715666822687846</v>
      </c>
      <c r="P45" s="60">
        <f t="shared" si="11"/>
        <v>14.273236238960074</v>
      </c>
      <c r="Q45" s="60">
        <f t="shared" si="11"/>
        <v>18.281674268134434</v>
      </c>
      <c r="R45" s="60">
        <f t="shared" si="11"/>
        <v>25.393957633163907</v>
      </c>
      <c r="S45" s="60">
        <f t="shared" si="11"/>
        <v>41.41513258671975</v>
      </c>
      <c r="T45" s="60">
        <f t="shared" si="11"/>
        <v>110.56946878772493</v>
      </c>
      <c r="U45" s="60">
        <f t="shared" si="11"/>
        <v>-170.07205145375852</v>
      </c>
      <c r="V45" s="60">
        <f t="shared" si="11"/>
        <v>-48.589414971125578</v>
      </c>
    </row>
    <row r="46" spans="2:22" x14ac:dyDescent="0.15">
      <c r="B46" s="8" t="s">
        <v>372</v>
      </c>
      <c r="C46" s="60">
        <f>Assumptions!$F$82</f>
        <v>5</v>
      </c>
      <c r="D46" s="60">
        <f>Assumptions!$F$82</f>
        <v>5</v>
      </c>
      <c r="E46" s="60">
        <f>Assumptions!$F$82</f>
        <v>5</v>
      </c>
      <c r="F46" s="60">
        <f>Assumptions!$F$82</f>
        <v>5</v>
      </c>
      <c r="G46" s="60">
        <f>Assumptions!$F$82</f>
        <v>5</v>
      </c>
      <c r="H46" s="60">
        <f>Assumptions!$F$82</f>
        <v>5</v>
      </c>
      <c r="I46" s="60">
        <f>Assumptions!$F$82</f>
        <v>5</v>
      </c>
      <c r="J46" s="60">
        <f>Assumptions!$F$82</f>
        <v>5</v>
      </c>
      <c r="K46" s="60">
        <f>Assumptions!$F$82</f>
        <v>5</v>
      </c>
      <c r="L46" s="60">
        <f>Assumptions!$F$82</f>
        <v>5</v>
      </c>
      <c r="M46" s="60">
        <f>Assumptions!$F$82</f>
        <v>5</v>
      </c>
      <c r="N46" s="60">
        <f>Assumptions!$F$82</f>
        <v>5</v>
      </c>
      <c r="O46" s="60">
        <f>Assumptions!$F$82</f>
        <v>5</v>
      </c>
      <c r="P46" s="60">
        <f>Assumptions!$F$82</f>
        <v>5</v>
      </c>
      <c r="Q46" s="60">
        <f>Assumptions!$F$82</f>
        <v>5</v>
      </c>
      <c r="R46" s="60">
        <f>Assumptions!$F$82</f>
        <v>5</v>
      </c>
      <c r="S46" s="60">
        <f>Assumptions!$F$82</f>
        <v>5</v>
      </c>
      <c r="T46" s="60">
        <f>Assumptions!$F$82</f>
        <v>5</v>
      </c>
      <c r="U46" s="60">
        <f>Assumptions!$F$82</f>
        <v>5</v>
      </c>
      <c r="V46" s="60">
        <f>Assumptions!$F$82</f>
        <v>5</v>
      </c>
    </row>
    <row r="47" spans="2:22" x14ac:dyDescent="0.15">
      <c r="B47" s="57" t="s">
        <v>373</v>
      </c>
      <c r="C47" s="33" t="str">
        <f t="shared" ref="C47:V47" si="12">IF(C44&lt;=C46,"OK","REVIEW")</f>
        <v>OK</v>
      </c>
      <c r="D47" s="33" t="str">
        <f t="shared" si="12"/>
        <v>OK</v>
      </c>
      <c r="E47" s="33" t="str">
        <f t="shared" si="12"/>
        <v>OK</v>
      </c>
      <c r="F47" s="33" t="str">
        <f t="shared" si="12"/>
        <v>OK</v>
      </c>
      <c r="G47" s="33" t="str">
        <f t="shared" si="12"/>
        <v>OK</v>
      </c>
      <c r="H47" s="33" t="str">
        <f t="shared" si="12"/>
        <v>OK</v>
      </c>
      <c r="I47" s="33" t="str">
        <f t="shared" si="12"/>
        <v>OK</v>
      </c>
      <c r="J47" s="33" t="str">
        <f t="shared" si="12"/>
        <v>OK</v>
      </c>
      <c r="K47" s="33" t="str">
        <f>IF(K44&lt;=K46,"OK","REVIEW")</f>
        <v>REVIEW</v>
      </c>
      <c r="L47" s="33" t="str">
        <f t="shared" si="12"/>
        <v>REVIEW</v>
      </c>
      <c r="M47" s="33" t="str">
        <f t="shared" si="12"/>
        <v>REVIEW</v>
      </c>
      <c r="N47" s="33" t="str">
        <f t="shared" si="12"/>
        <v>REVIEW</v>
      </c>
      <c r="O47" s="33" t="str">
        <f t="shared" si="12"/>
        <v>REVIEW</v>
      </c>
      <c r="P47" s="33" t="str">
        <f t="shared" si="12"/>
        <v>REVIEW</v>
      </c>
      <c r="Q47" s="33" t="str">
        <f t="shared" si="12"/>
        <v>REVIEW</v>
      </c>
      <c r="R47" s="33" t="str">
        <f t="shared" si="12"/>
        <v>REVIEW</v>
      </c>
      <c r="S47" s="33" t="str">
        <f t="shared" si="12"/>
        <v>REVIEW</v>
      </c>
      <c r="T47" s="33" t="str">
        <f t="shared" si="12"/>
        <v>REVIEW</v>
      </c>
      <c r="U47" s="33" t="str">
        <f t="shared" si="12"/>
        <v>OK</v>
      </c>
      <c r="V47" s="33" t="str">
        <f t="shared" si="12"/>
        <v>OK</v>
      </c>
    </row>
    <row r="48" spans="2:22" x14ac:dyDescent="0.15">
      <c r="B48" s="40" t="s">
        <v>374</v>
      </c>
      <c r="C48" s="22">
        <f>IFERROR(NPV(Assumptions!$F$42/2,C10:V10)/C8,"n/a")</f>
        <v>0.8913731121608981</v>
      </c>
      <c r="D48" s="22">
        <f>IFERROR(NPV(Assumptions!$F$42/2,D10:V10)/D8,"n/a")</f>
        <v>0.82430265138337588</v>
      </c>
      <c r="E48" s="22">
        <f>IFERROR(NPV(Assumptions!$F$42/2,E10:V10)/E8,"n/a")</f>
        <v>0.77556246809001794</v>
      </c>
      <c r="F48" s="22">
        <f>IFERROR(NPV(Assumptions!$F$42/2,F10:V10)/F8,"n/a")</f>
        <v>0.72402500393692382</v>
      </c>
      <c r="G48" s="22">
        <f>IFERROR(NPV(Assumptions!$F$42/2,G10:V10)/G8,"n/a")</f>
        <v>0.66805039917066578</v>
      </c>
      <c r="H48" s="22">
        <f>IFERROR(NPV(Assumptions!$F$42/2,H10:V10)/H8,"n/a")</f>
        <v>0.61301988787528838</v>
      </c>
      <c r="I48" s="22">
        <f>IFERROR(NPV(Assumptions!$F$42/2,I10:V10)/I8,"n/a")</f>
        <v>0.5543062949979205</v>
      </c>
      <c r="J48" s="22">
        <f>IFERROR(NPV(Assumptions!$F$42/2,J10:V10)/J8,"n/a")</f>
        <v>0.49225890001221972</v>
      </c>
      <c r="K48" s="22">
        <f>IFERROR(NPV(Assumptions!$F$42/2,K10:V10)/K8,"n/a")</f>
        <v>0.42746377537280611</v>
      </c>
      <c r="L48" s="22">
        <f>IFERROR(NPV(Assumptions!$F$42/2,L10:V10)/L8,"n/a")</f>
        <v>0.3633345199879553</v>
      </c>
      <c r="M48" s="22">
        <f>IFERROR(NPV(Assumptions!$F$42/2,M10:V10)/M8,"n/a")</f>
        <v>0.29910732903387766</v>
      </c>
      <c r="N48" s="22">
        <f>IFERROR(NPV(Assumptions!$F$42/2,N10:V10)/N8,"n/a")</f>
        <v>0.23628218194609998</v>
      </c>
      <c r="O48" s="22">
        <f>IFERROR(NPV(Assumptions!$F$42/2,O10:V10)/O8,"n/a")</f>
        <v>0.17659239630630658</v>
      </c>
      <c r="P48" s="22">
        <f>IFERROR(NPV(Assumptions!$F$42/2,P10:V10)/P8,"n/a")</f>
        <v>0.12191417132287816</v>
      </c>
      <c r="Q48" s="22">
        <f>IFERROR(NPV(Assumptions!$F$42/2,Q10:V10)/Q8,"n/a")</f>
        <v>7.4628098254666514E-2</v>
      </c>
      <c r="R48" s="22">
        <f>IFERROR(NPV(Assumptions!$F$42/2,R10:V10)/R8,"n/a")</f>
        <v>3.5747325194222385E-2</v>
      </c>
      <c r="S48" s="22">
        <f>IFERROR(NPV(Assumptions!$F$42/2,S10:V10)/S8,"n/a")</f>
        <v>6.1424465880784975E-3</v>
      </c>
      <c r="T48" s="22">
        <f>IFERROR(NPV(Assumptions!$F$42/2,T10:V10)/T8,"n/a")</f>
        <v>-1.3257796967171448E-2</v>
      </c>
      <c r="U48" s="22">
        <f>IFERROR(NPV(Assumptions!$F$42/2,U10:V10)/U8,"n/a")</f>
        <v>-2.1463191445003152E-2</v>
      </c>
      <c r="V48" s="22">
        <f>IFERROR(NPV(Assumptions!$F$42/2,V10:V10)/V8,"n/a")</f>
        <v>-1.7418545362954414E-2</v>
      </c>
    </row>
    <row r="50" spans="2:22" x14ac:dyDescent="0.15">
      <c r="B50" s="54" t="s">
        <v>375</v>
      </c>
      <c r="C50" s="54"/>
      <c r="D50" s="54"/>
      <c r="E50" s="54"/>
      <c r="F50" s="54"/>
      <c r="G50" s="54"/>
      <c r="H50" s="54"/>
      <c r="I50" s="54"/>
      <c r="J50" s="54"/>
      <c r="K50" s="54"/>
      <c r="L50" s="54"/>
      <c r="M50" s="54"/>
      <c r="N50" s="54"/>
      <c r="O50" s="54"/>
      <c r="P50" s="54"/>
      <c r="Q50" s="54"/>
      <c r="R50" s="54"/>
      <c r="S50" s="54"/>
      <c r="T50" s="54"/>
      <c r="U50" s="54"/>
      <c r="V50" s="54"/>
    </row>
    <row r="51" spans="2:22" x14ac:dyDescent="0.15">
      <c r="B51" s="27" t="s">
        <v>376</v>
      </c>
      <c r="C51" s="39">
        <f>MIN(C36,MAX(0,C37))</f>
        <v>2254862.5804235917</v>
      </c>
      <c r="D51" s="39">
        <f t="shared" ref="C51:U51" si="13">MIN(D36,MAX(0,D37))</f>
        <v>2237229.1457860065</v>
      </c>
      <c r="E51" s="39">
        <f t="shared" si="13"/>
        <v>1736009.1272393174</v>
      </c>
      <c r="F51" s="39">
        <f t="shared" si="13"/>
        <v>1687685.0781059721</v>
      </c>
      <c r="G51" s="39">
        <f t="shared" si="13"/>
        <v>85225.519388906541</v>
      </c>
      <c r="H51" s="39">
        <f t="shared" si="13"/>
        <v>825875.83171870629</v>
      </c>
      <c r="I51" s="39">
        <f t="shared" si="13"/>
        <v>251928.40962548903</v>
      </c>
      <c r="J51" s="39">
        <f t="shared" si="13"/>
        <v>562543.86813412257</v>
      </c>
      <c r="K51" s="39">
        <f t="shared" si="13"/>
        <v>190722.35340352834</v>
      </c>
      <c r="L51" s="39">
        <f t="shared" si="13"/>
        <v>206364.50467390032</v>
      </c>
      <c r="M51" s="39">
        <f t="shared" si="13"/>
        <v>0</v>
      </c>
      <c r="N51" s="39">
        <f t="shared" si="13"/>
        <v>0</v>
      </c>
      <c r="O51" s="39">
        <f t="shared" si="13"/>
        <v>0</v>
      </c>
      <c r="P51" s="39">
        <f t="shared" si="13"/>
        <v>0</v>
      </c>
      <c r="Q51" s="39">
        <f t="shared" si="13"/>
        <v>0</v>
      </c>
      <c r="R51" s="39">
        <f t="shared" si="13"/>
        <v>0</v>
      </c>
      <c r="S51" s="39">
        <f t="shared" si="13"/>
        <v>0</v>
      </c>
      <c r="T51" s="39">
        <f t="shared" si="13"/>
        <v>0</v>
      </c>
      <c r="U51" s="39">
        <f t="shared" si="13"/>
        <v>0</v>
      </c>
      <c r="V51" s="39">
        <f>V36</f>
        <v>4342026.2681234423</v>
      </c>
    </row>
    <row r="52" spans="2:22" x14ac:dyDescent="0.15">
      <c r="B52" s="27" t="s">
        <v>377</v>
      </c>
      <c r="C52" s="39">
        <f t="shared" ref="C52:U52" si="14">C36-C51</f>
        <v>0</v>
      </c>
      <c r="D52" s="39">
        <f t="shared" si="14"/>
        <v>0</v>
      </c>
      <c r="E52" s="39">
        <f>E36-E51</f>
        <v>0</v>
      </c>
      <c r="F52" s="39">
        <f t="shared" si="14"/>
        <v>5342.3992290892638</v>
      </c>
      <c r="G52" s="39">
        <f t="shared" si="14"/>
        <v>1608175.925892191</v>
      </c>
      <c r="H52" s="39">
        <f t="shared" si="14"/>
        <v>980097.9283748446</v>
      </c>
      <c r="I52" s="39">
        <f t="shared" si="14"/>
        <v>1622652.2054543011</v>
      </c>
      <c r="J52" s="39">
        <f t="shared" si="14"/>
        <v>1425622.4013274687</v>
      </c>
      <c r="K52" s="39">
        <f t="shared" si="14"/>
        <v>1897237.4841509857</v>
      </c>
      <c r="L52" s="39">
        <f t="shared" si="14"/>
        <v>2014401.9567711826</v>
      </c>
      <c r="M52" s="39">
        <f t="shared" si="14"/>
        <v>2361774.5984190661</v>
      </c>
      <c r="N52" s="39">
        <f t="shared" si="14"/>
        <v>2527098.8203084003</v>
      </c>
      <c r="O52" s="39">
        <f t="shared" si="14"/>
        <v>2703995.7377299885</v>
      </c>
      <c r="P52" s="39">
        <f t="shared" si="14"/>
        <v>2893275.4393710881</v>
      </c>
      <c r="Q52" s="39">
        <f t="shared" si="14"/>
        <v>3095804.7201270638</v>
      </c>
      <c r="R52" s="39">
        <f t="shared" si="14"/>
        <v>3312511.0505359583</v>
      </c>
      <c r="S52" s="39">
        <f t="shared" si="14"/>
        <v>3544386.8240734749</v>
      </c>
      <c r="T52" s="39">
        <f t="shared" si="14"/>
        <v>3792493.9017586187</v>
      </c>
      <c r="U52" s="39">
        <f t="shared" si="14"/>
        <v>4057968.4748817221</v>
      </c>
      <c r="V52" s="39">
        <v>0</v>
      </c>
    </row>
  </sheetData>
  <mergeCells count="7">
    <mergeCell ref="B42:V42"/>
    <mergeCell ref="B50:V50"/>
    <mergeCell ref="B2:V3"/>
    <mergeCell ref="B6:V6"/>
    <mergeCell ref="B18:V18"/>
    <mergeCell ref="B26:V26"/>
    <mergeCell ref="B33:V33"/>
  </mergeCells>
  <hyperlinks>
    <hyperlink ref="D5" location="Cover!A1" display="&lt;&lt;&lt;&lt;" xr:uid="{0C9F5789-19BB-3641-ACF1-E875C04A24BF}"/>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F6B69"/>
  </sheetPr>
  <dimension ref="B2:V30"/>
  <sheetViews>
    <sheetView showGridLines="0" zoomScaleNormal="100" workbookViewId="0">
      <pane xSplit="2" ySplit="6" topLeftCell="C7" activePane="bottomRight" state="frozen"/>
      <selection activeCell="H27" sqref="H27"/>
      <selection pane="topRight" activeCell="H27" sqref="H27"/>
      <selection pane="bottomLeft" activeCell="H27" sqref="H27"/>
      <selection pane="bottomRight" activeCell="C27" sqref="C27"/>
    </sheetView>
  </sheetViews>
  <sheetFormatPr baseColWidth="10" defaultColWidth="8.6640625" defaultRowHeight="14" x14ac:dyDescent="0.15"/>
  <cols>
    <col min="1" max="1" width="2" style="2" customWidth="1"/>
    <col min="2" max="2" width="42" style="2" customWidth="1"/>
    <col min="3" max="22" width="13" style="2" customWidth="1"/>
    <col min="23" max="16384" width="8.6640625" style="2"/>
  </cols>
  <sheetData>
    <row r="2" spans="2:22" x14ac:dyDescent="0.15">
      <c r="B2" s="53" t="s">
        <v>378</v>
      </c>
      <c r="C2" s="53"/>
      <c r="D2" s="53"/>
      <c r="E2" s="53"/>
      <c r="F2" s="53"/>
      <c r="G2" s="53"/>
      <c r="H2" s="53"/>
      <c r="I2" s="53"/>
      <c r="J2" s="53"/>
      <c r="K2" s="53"/>
      <c r="L2" s="53"/>
      <c r="M2" s="53"/>
      <c r="N2" s="53"/>
      <c r="O2" s="53"/>
      <c r="P2" s="53"/>
      <c r="Q2" s="53"/>
      <c r="R2" s="53"/>
      <c r="S2" s="53"/>
      <c r="T2" s="53"/>
      <c r="U2" s="53"/>
      <c r="V2" s="53"/>
    </row>
    <row r="3" spans="2:22" x14ac:dyDescent="0.15">
      <c r="B3" s="53"/>
      <c r="C3" s="53"/>
      <c r="D3" s="53"/>
      <c r="E3" s="53"/>
      <c r="F3" s="53"/>
      <c r="G3" s="53"/>
      <c r="H3" s="53"/>
      <c r="I3" s="53"/>
      <c r="J3" s="53"/>
      <c r="K3" s="53"/>
      <c r="L3" s="53"/>
      <c r="M3" s="53"/>
      <c r="N3" s="53"/>
      <c r="O3" s="53"/>
      <c r="P3" s="53"/>
      <c r="Q3" s="53"/>
      <c r="R3" s="53"/>
      <c r="S3" s="53"/>
      <c r="T3" s="53"/>
      <c r="U3" s="53"/>
      <c r="V3" s="53"/>
    </row>
    <row r="4" spans="2:22" x14ac:dyDescent="0.15">
      <c r="B4" s="28" t="s">
        <v>379</v>
      </c>
    </row>
    <row r="5" spans="2:22" ht="16" x14ac:dyDescent="0.2">
      <c r="B5" s="3" t="s">
        <v>33</v>
      </c>
      <c r="C5" s="4" t="str">
        <f>Cover!$C$9</f>
        <v>Base</v>
      </c>
      <c r="D5" s="84" t="s">
        <v>683</v>
      </c>
    </row>
    <row r="6" spans="2:22" x14ac:dyDescent="0.15">
      <c r="B6" s="54" t="s">
        <v>380</v>
      </c>
      <c r="C6" s="54"/>
      <c r="D6" s="54"/>
      <c r="E6" s="54"/>
      <c r="F6" s="54"/>
      <c r="G6" s="54"/>
      <c r="H6" s="54"/>
      <c r="I6" s="54"/>
      <c r="J6" s="54"/>
      <c r="K6" s="54"/>
      <c r="L6" s="54"/>
      <c r="M6" s="54"/>
      <c r="N6" s="54"/>
      <c r="O6" s="54"/>
      <c r="P6" s="54"/>
      <c r="Q6" s="54"/>
      <c r="R6" s="54"/>
      <c r="S6" s="54"/>
      <c r="T6" s="54"/>
      <c r="U6" s="54"/>
      <c r="V6" s="54"/>
    </row>
    <row r="7" spans="2:22" x14ac:dyDescent="0.15">
      <c r="B7" s="8" t="s">
        <v>342</v>
      </c>
      <c r="C7" s="46">
        <f>Operations!C50</f>
        <v>24293734.273869947</v>
      </c>
      <c r="D7" s="46">
        <f>Operations!D50</f>
        <v>14409116.467327464</v>
      </c>
      <c r="E7" s="46">
        <f>Operations!E50</f>
        <v>13181182.448083326</v>
      </c>
      <c r="F7" s="46">
        <f>Operations!F50</f>
        <v>12444794.055490013</v>
      </c>
      <c r="G7" s="46">
        <f>Operations!G50</f>
        <v>10745180.71003215</v>
      </c>
      <c r="H7" s="46">
        <f>Operations!H50</f>
        <v>10177118.504362665</v>
      </c>
      <c r="I7" s="46">
        <f>Operations!I50</f>
        <v>9581549.3732280806</v>
      </c>
      <c r="J7" s="46">
        <f>Operations!J50</f>
        <v>8957474.0957762673</v>
      </c>
      <c r="K7" s="46">
        <f>Operations!K50</f>
        <v>8008314.6186860055</v>
      </c>
      <c r="L7" s="46">
        <f>Operations!L50</f>
        <v>7324092.9349888191</v>
      </c>
      <c r="M7" s="46">
        <f>Operations!M50</f>
        <v>6608159.9259938076</v>
      </c>
      <c r="N7" s="46">
        <f>Operations!N50</f>
        <v>5859374.1651044264</v>
      </c>
      <c r="O7" s="46">
        <f>Operations!O50</f>
        <v>5076555.6822755113</v>
      </c>
      <c r="P7" s="46">
        <f>Operations!P50</f>
        <v>4258484.687818937</v>
      </c>
      <c r="Q7" s="46">
        <f>Operations!Q50</f>
        <v>3403900.2542226985</v>
      </c>
      <c r="R7" s="46">
        <f>Operations!R50</f>
        <v>2511498.9546053186</v>
      </c>
      <c r="S7" s="46">
        <f>Operations!S50</f>
        <v>1579933.4563819021</v>
      </c>
      <c r="T7" s="46">
        <f>Operations!T50</f>
        <v>607811.06867132336</v>
      </c>
      <c r="U7" s="46">
        <f>Operations!U50</f>
        <v>-406307.75807367265</v>
      </c>
      <c r="V7" s="46">
        <f>Operations!V50</f>
        <v>-1463910.9817822948</v>
      </c>
    </row>
    <row r="8" spans="2:22" x14ac:dyDescent="0.15">
      <c r="B8" s="8" t="s">
        <v>381</v>
      </c>
      <c r="C8" s="46">
        <f>Debt!C13</f>
        <v>18687487.902976882</v>
      </c>
      <c r="D8" s="46">
        <f>Debt!D13</f>
        <v>11083935.744098049</v>
      </c>
      <c r="E8" s="46">
        <f>Debt!E13</f>
        <v>10139371.11391025</v>
      </c>
      <c r="F8" s="46">
        <f>Debt!F13</f>
        <v>9572918.5042230859</v>
      </c>
      <c r="G8" s="46">
        <f>Debt!G13</f>
        <v>8265523.6231016535</v>
      </c>
      <c r="H8" s="46">
        <f>Debt!H13</f>
        <v>7828552.6956635881</v>
      </c>
      <c r="I8" s="46">
        <f>Debt!I13</f>
        <v>7370422.5947908312</v>
      </c>
      <c r="J8" s="46">
        <f>Debt!J13</f>
        <v>6890364.689058667</v>
      </c>
      <c r="K8" s="46">
        <f>Debt!K13</f>
        <v>6160242.0143738501</v>
      </c>
      <c r="L8" s="46">
        <f>Debt!L13</f>
        <v>5633917.6422990914</v>
      </c>
      <c r="M8" s="46">
        <f>Debt!M13</f>
        <v>5083199.9430721598</v>
      </c>
      <c r="N8" s="46">
        <f>Debt!N13</f>
        <v>4507210.8962341743</v>
      </c>
      <c r="O8" s="46">
        <f>Debt!O13</f>
        <v>3905042.8325196239</v>
      </c>
      <c r="P8" s="46">
        <f>Debt!P13</f>
        <v>3811029.9589325469</v>
      </c>
      <c r="Q8" s="46">
        <f>Debt!Q13</f>
        <v>3811029.9589325469</v>
      </c>
      <c r="R8" s="46">
        <f>Debt!R13</f>
        <v>3811029.9589325469</v>
      </c>
      <c r="S8" s="46">
        <f>Debt!S13</f>
        <v>3811029.9589325469</v>
      </c>
      <c r="T8" s="46">
        <f>Debt!T13</f>
        <v>3811029.9589325469</v>
      </c>
      <c r="U8" s="46">
        <f>Debt!U13</f>
        <v>3811029.9589325469</v>
      </c>
      <c r="V8" s="46">
        <f>Debt!V13</f>
        <v>84043239.620670378</v>
      </c>
    </row>
    <row r="9" spans="2:22" x14ac:dyDescent="0.15">
      <c r="B9" s="41" t="s">
        <v>382</v>
      </c>
      <c r="C9" s="55">
        <f t="shared" ref="C9:V9" si="0">C7-C8</f>
        <v>5606246.3708930649</v>
      </c>
      <c r="D9" s="55">
        <f t="shared" si="0"/>
        <v>3325180.7232294157</v>
      </c>
      <c r="E9" s="55">
        <f t="shared" si="0"/>
        <v>3041811.3341730759</v>
      </c>
      <c r="F9" s="55">
        <f t="shared" si="0"/>
        <v>2871875.5512669273</v>
      </c>
      <c r="G9" s="55">
        <f t="shared" si="0"/>
        <v>2479657.0869304966</v>
      </c>
      <c r="H9" s="55">
        <f t="shared" si="0"/>
        <v>2348565.808699077</v>
      </c>
      <c r="I9" s="55">
        <f t="shared" si="0"/>
        <v>2211126.7784372494</v>
      </c>
      <c r="J9" s="55">
        <f t="shared" si="0"/>
        <v>2067109.4067176003</v>
      </c>
      <c r="K9" s="55">
        <f t="shared" si="0"/>
        <v>1848072.6043121554</v>
      </c>
      <c r="L9" s="55">
        <f t="shared" si="0"/>
        <v>1690175.2926897276</v>
      </c>
      <c r="M9" s="55">
        <f t="shared" si="0"/>
        <v>1524959.9829216478</v>
      </c>
      <c r="N9" s="55">
        <f t="shared" si="0"/>
        <v>1352163.2688702522</v>
      </c>
      <c r="O9" s="55">
        <f t="shared" si="0"/>
        <v>1171512.8497558874</v>
      </c>
      <c r="P9" s="55">
        <f t="shared" si="0"/>
        <v>447454.7288863901</v>
      </c>
      <c r="Q9" s="55">
        <f t="shared" si="0"/>
        <v>-407129.70470984839</v>
      </c>
      <c r="R9" s="55">
        <f t="shared" si="0"/>
        <v>-1299531.0043272283</v>
      </c>
      <c r="S9" s="55">
        <f t="shared" si="0"/>
        <v>-2231096.5025506448</v>
      </c>
      <c r="T9" s="55">
        <f t="shared" si="0"/>
        <v>-3203218.8902612235</v>
      </c>
      <c r="U9" s="55">
        <f t="shared" si="0"/>
        <v>-4217337.7170062196</v>
      </c>
      <c r="V9" s="55">
        <f t="shared" si="0"/>
        <v>-85507150.602452666</v>
      </c>
    </row>
    <row r="10" spans="2:22" x14ac:dyDescent="0.15">
      <c r="B10" s="8" t="s">
        <v>383</v>
      </c>
      <c r="C10" s="46">
        <f>Reserves!C11</f>
        <v>0</v>
      </c>
      <c r="D10" s="46">
        <f>Reserves!D11</f>
        <v>-7603552.1588788331</v>
      </c>
      <c r="E10" s="46">
        <f>Reserves!E11</f>
        <v>-944564.63018779829</v>
      </c>
      <c r="F10" s="46">
        <f>Reserves!F11</f>
        <v>-566452.60968716443</v>
      </c>
      <c r="G10" s="46">
        <f>Reserves!G11</f>
        <v>-1307394.8811214324</v>
      </c>
      <c r="H10" s="46">
        <f>Reserves!H11</f>
        <v>-436970.92743806541</v>
      </c>
      <c r="I10" s="46">
        <f>Reserves!I11</f>
        <v>-458130.10087275691</v>
      </c>
      <c r="J10" s="46">
        <f>Reserves!J11</f>
        <v>-480057.90573216416</v>
      </c>
      <c r="K10" s="46">
        <f>Reserves!K11</f>
        <v>-730122.67468481697</v>
      </c>
      <c r="L10" s="46">
        <f>Reserves!L11</f>
        <v>-526324.37207475863</v>
      </c>
      <c r="M10" s="46">
        <f>Reserves!M11</f>
        <v>-550717.69922693167</v>
      </c>
      <c r="N10" s="46">
        <f>Reserves!N11</f>
        <v>-575989.04683798552</v>
      </c>
      <c r="O10" s="46">
        <f>Reserves!O11</f>
        <v>-602168.06371455034</v>
      </c>
      <c r="P10" s="46">
        <f>Reserves!P11</f>
        <v>-94012.873587077018</v>
      </c>
      <c r="Q10" s="46">
        <f>Reserves!Q11</f>
        <v>0</v>
      </c>
      <c r="R10" s="46">
        <f>Reserves!R11</f>
        <v>0</v>
      </c>
      <c r="S10" s="46">
        <f>Reserves!S11</f>
        <v>0</v>
      </c>
      <c r="T10" s="46">
        <f>Reserves!T11</f>
        <v>0</v>
      </c>
      <c r="U10" s="46">
        <f>Reserves!U11</f>
        <v>0</v>
      </c>
      <c r="V10" s="46">
        <f>Reserves!V11</f>
        <v>-3811029.9589325469</v>
      </c>
    </row>
    <row r="11" spans="2:22" x14ac:dyDescent="0.15">
      <c r="B11" s="40" t="s">
        <v>384</v>
      </c>
      <c r="C11" s="18">
        <f t="shared" ref="C11:V11" si="1">C9-C10</f>
        <v>5606246.3708930649</v>
      </c>
      <c r="D11" s="18">
        <f t="shared" si="1"/>
        <v>10928732.882108249</v>
      </c>
      <c r="E11" s="18">
        <f t="shared" si="1"/>
        <v>3986375.9643608741</v>
      </c>
      <c r="F11" s="18">
        <f t="shared" si="1"/>
        <v>3438328.1609540917</v>
      </c>
      <c r="G11" s="18">
        <f t="shared" si="1"/>
        <v>3787051.968051929</v>
      </c>
      <c r="H11" s="18">
        <f t="shared" si="1"/>
        <v>2785536.7361371424</v>
      </c>
      <c r="I11" s="18">
        <f t="shared" si="1"/>
        <v>2669256.8793100063</v>
      </c>
      <c r="J11" s="18">
        <f t="shared" si="1"/>
        <v>2547167.3124497645</v>
      </c>
      <c r="K11" s="18">
        <f t="shared" si="1"/>
        <v>2578195.2789969724</v>
      </c>
      <c r="L11" s="18">
        <f t="shared" si="1"/>
        <v>2216499.6647644863</v>
      </c>
      <c r="M11" s="18">
        <f t="shared" si="1"/>
        <v>2075677.6821485795</v>
      </c>
      <c r="N11" s="18">
        <f t="shared" si="1"/>
        <v>1928152.3157082377</v>
      </c>
      <c r="O11" s="18">
        <f t="shared" si="1"/>
        <v>1773680.9134704378</v>
      </c>
      <c r="P11" s="18">
        <f t="shared" si="1"/>
        <v>541467.60247346712</v>
      </c>
      <c r="Q11" s="18">
        <f t="shared" si="1"/>
        <v>-407129.70470984839</v>
      </c>
      <c r="R11" s="18">
        <f t="shared" si="1"/>
        <v>-1299531.0043272283</v>
      </c>
      <c r="S11" s="18">
        <f t="shared" si="1"/>
        <v>-2231096.5025506448</v>
      </c>
      <c r="T11" s="18">
        <f t="shared" si="1"/>
        <v>-3203218.8902612235</v>
      </c>
      <c r="U11" s="18">
        <f t="shared" si="1"/>
        <v>-4217337.7170062196</v>
      </c>
      <c r="V11" s="18">
        <f t="shared" si="1"/>
        <v>-81696120.643520117</v>
      </c>
    </row>
    <row r="12" spans="2:22" x14ac:dyDescent="0.15">
      <c r="B12" s="40" t="s">
        <v>385</v>
      </c>
      <c r="C12" s="18">
        <f>IF(C27="TRAP",0,MAX(0,C26)+C28)</f>
        <v>0</v>
      </c>
      <c r="D12" s="18">
        <f t="shared" ref="C12:V12" si="2">IF(D27="TRAP",0,MAX(0,D26)+D28)</f>
        <v>0</v>
      </c>
      <c r="E12" s="18">
        <f t="shared" si="2"/>
        <v>0</v>
      </c>
      <c r="F12" s="18">
        <f t="shared" si="2"/>
        <v>0</v>
      </c>
      <c r="G12" s="18">
        <f t="shared" si="2"/>
        <v>0</v>
      </c>
      <c r="H12" s="18">
        <f t="shared" si="2"/>
        <v>0</v>
      </c>
      <c r="I12" s="18">
        <f t="shared" si="2"/>
        <v>0</v>
      </c>
      <c r="J12" s="18">
        <f t="shared" si="2"/>
        <v>0</v>
      </c>
      <c r="K12" s="18">
        <f t="shared" si="2"/>
        <v>0</v>
      </c>
      <c r="L12" s="18">
        <f t="shared" si="2"/>
        <v>0</v>
      </c>
      <c r="M12" s="18">
        <f t="shared" si="2"/>
        <v>0</v>
      </c>
      <c r="N12" s="18">
        <f t="shared" si="2"/>
        <v>0</v>
      </c>
      <c r="O12" s="18">
        <f t="shared" si="2"/>
        <v>0</v>
      </c>
      <c r="P12" s="18">
        <f t="shared" si="2"/>
        <v>0</v>
      </c>
      <c r="Q12" s="18">
        <f t="shared" si="2"/>
        <v>0</v>
      </c>
      <c r="R12" s="18">
        <f t="shared" si="2"/>
        <v>0</v>
      </c>
      <c r="S12" s="18">
        <f t="shared" si="2"/>
        <v>0</v>
      </c>
      <c r="T12" s="18">
        <f t="shared" si="2"/>
        <v>0</v>
      </c>
      <c r="U12" s="18">
        <f t="shared" si="2"/>
        <v>0</v>
      </c>
      <c r="V12" s="18">
        <f t="shared" si="2"/>
        <v>0</v>
      </c>
    </row>
    <row r="13" spans="2:22" x14ac:dyDescent="0.15">
      <c r="B13" s="8" t="s">
        <v>386</v>
      </c>
      <c r="C13" s="39">
        <f t="shared" ref="C13:V13" si="3">MIN(0,C26)</f>
        <v>0</v>
      </c>
      <c r="D13" s="39">
        <f t="shared" si="3"/>
        <v>0</v>
      </c>
      <c r="E13" s="39">
        <f t="shared" si="3"/>
        <v>0</v>
      </c>
      <c r="F13" s="39">
        <f t="shared" si="3"/>
        <v>0</v>
      </c>
      <c r="G13" s="39">
        <f t="shared" si="3"/>
        <v>0</v>
      </c>
      <c r="H13" s="39">
        <f t="shared" si="3"/>
        <v>0</v>
      </c>
      <c r="I13" s="39">
        <f t="shared" si="3"/>
        <v>0</v>
      </c>
      <c r="J13" s="39">
        <f t="shared" si="3"/>
        <v>0</v>
      </c>
      <c r="K13" s="39">
        <f t="shared" si="3"/>
        <v>0</v>
      </c>
      <c r="L13" s="39">
        <f t="shared" si="3"/>
        <v>0</v>
      </c>
      <c r="M13" s="39">
        <f t="shared" si="3"/>
        <v>-429166.81625046965</v>
      </c>
      <c r="N13" s="39">
        <f t="shared" si="3"/>
        <v>-108055.81790434127</v>
      </c>
      <c r="O13" s="39">
        <f t="shared" si="3"/>
        <v>-777207.98089880461</v>
      </c>
      <c r="P13" s="39">
        <f t="shared" si="3"/>
        <v>-1521387.1100785886</v>
      </c>
      <c r="Q13" s="39">
        <f t="shared" si="3"/>
        <v>-3005681.8262276198</v>
      </c>
      <c r="R13" s="39">
        <f t="shared" si="3"/>
        <v>-3389618.5205554292</v>
      </c>
      <c r="S13" s="39">
        <f t="shared" si="3"/>
        <v>-4879006.6869790684</v>
      </c>
      <c r="T13" s="39">
        <f t="shared" si="3"/>
        <v>-5321138.3318464449</v>
      </c>
      <c r="U13" s="39">
        <f t="shared" si="3"/>
        <v>-6916381.1694784658</v>
      </c>
      <c r="V13" s="39">
        <f t="shared" si="3"/>
        <v>-150213457.26842141</v>
      </c>
    </row>
    <row r="14" spans="2:22" x14ac:dyDescent="0.15">
      <c r="B14" s="8" t="s">
        <v>387</v>
      </c>
      <c r="C14" s="39">
        <f>C12</f>
        <v>0</v>
      </c>
      <c r="D14" s="39">
        <f t="shared" ref="D14:V14" si="4">C14+D12</f>
        <v>0</v>
      </c>
      <c r="E14" s="39">
        <f t="shared" si="4"/>
        <v>0</v>
      </c>
      <c r="F14" s="39">
        <f t="shared" si="4"/>
        <v>0</v>
      </c>
      <c r="G14" s="39">
        <f t="shared" si="4"/>
        <v>0</v>
      </c>
      <c r="H14" s="39">
        <f t="shared" si="4"/>
        <v>0</v>
      </c>
      <c r="I14" s="39">
        <f t="shared" si="4"/>
        <v>0</v>
      </c>
      <c r="J14" s="39">
        <f t="shared" si="4"/>
        <v>0</v>
      </c>
      <c r="K14" s="39">
        <f t="shared" si="4"/>
        <v>0</v>
      </c>
      <c r="L14" s="39">
        <f t="shared" si="4"/>
        <v>0</v>
      </c>
      <c r="M14" s="39">
        <f t="shared" si="4"/>
        <v>0</v>
      </c>
      <c r="N14" s="39">
        <f t="shared" si="4"/>
        <v>0</v>
      </c>
      <c r="O14" s="39">
        <f t="shared" si="4"/>
        <v>0</v>
      </c>
      <c r="P14" s="39">
        <f t="shared" si="4"/>
        <v>0</v>
      </c>
      <c r="Q14" s="39">
        <f t="shared" si="4"/>
        <v>0</v>
      </c>
      <c r="R14" s="39">
        <f t="shared" si="4"/>
        <v>0</v>
      </c>
      <c r="S14" s="39">
        <f t="shared" si="4"/>
        <v>0</v>
      </c>
      <c r="T14" s="39">
        <f t="shared" si="4"/>
        <v>0</v>
      </c>
      <c r="U14" s="39">
        <f t="shared" si="4"/>
        <v>0</v>
      </c>
      <c r="V14" s="39">
        <f t="shared" si="4"/>
        <v>0</v>
      </c>
    </row>
    <row r="16" spans="2:22" x14ac:dyDescent="0.15">
      <c r="B16" s="54" t="s">
        <v>388</v>
      </c>
      <c r="C16" s="54"/>
      <c r="D16" s="54"/>
      <c r="E16" s="54"/>
      <c r="F16" s="54"/>
      <c r="G16" s="54"/>
      <c r="H16" s="54"/>
      <c r="I16" s="54"/>
      <c r="J16" s="54"/>
      <c r="K16" s="54"/>
      <c r="L16" s="54"/>
      <c r="M16" s="54"/>
      <c r="N16" s="54"/>
      <c r="O16" s="54"/>
      <c r="P16" s="54"/>
      <c r="Q16" s="54"/>
      <c r="R16" s="54"/>
      <c r="S16" s="54"/>
      <c r="T16" s="54"/>
      <c r="U16" s="54"/>
      <c r="V16" s="54"/>
    </row>
    <row r="17" spans="2:22" x14ac:dyDescent="0.15">
      <c r="B17" s="2" t="s">
        <v>389</v>
      </c>
      <c r="D17" s="33" t="str">
        <f>IF(MIN(C26:V26)&lt;-0.01,"FAIL - shortfall","OK")</f>
        <v>FAIL - shortfall</v>
      </c>
    </row>
    <row r="18" spans="2:22" x14ac:dyDescent="0.15">
      <c r="B18" s="2" t="s">
        <v>390</v>
      </c>
      <c r="D18" s="55">
        <f>V14</f>
        <v>0</v>
      </c>
    </row>
    <row r="20" spans="2:22" x14ac:dyDescent="0.15">
      <c r="B20" s="8" t="s">
        <v>391</v>
      </c>
      <c r="C20" s="39">
        <f>Debt!C39</f>
        <v>2506768.7895319508</v>
      </c>
      <c r="D20" s="39">
        <f>Debt!D39</f>
        <v>9397515.1250244193</v>
      </c>
      <c r="E20" s="39">
        <f>Debt!E39</f>
        <v>2350032.6973001175</v>
      </c>
      <c r="F20" s="39">
        <f>Debt!F39</f>
        <v>1687685.0781059721</v>
      </c>
      <c r="G20" s="39">
        <f>Debt!G39</f>
        <v>85225.519388906541</v>
      </c>
      <c r="H20" s="39">
        <f>Debt!H39</f>
        <v>825875.83171870629</v>
      </c>
      <c r="I20" s="39">
        <f>Debt!I39</f>
        <v>251928.40962548903</v>
      </c>
      <c r="J20" s="39">
        <f>Debt!J39</f>
        <v>562543.86813412257</v>
      </c>
      <c r="K20" s="39">
        <f>Debt!K39</f>
        <v>190722.35340352834</v>
      </c>
      <c r="L20" s="39">
        <f>Debt!L39</f>
        <v>206364.50467390032</v>
      </c>
      <c r="M20" s="39">
        <f>Debt!M39</f>
        <v>0</v>
      </c>
      <c r="N20" s="39">
        <f>Debt!N39</f>
        <v>0</v>
      </c>
      <c r="O20" s="39">
        <f>Debt!O39</f>
        <v>0</v>
      </c>
      <c r="P20" s="39">
        <f>Debt!P39</f>
        <v>0</v>
      </c>
      <c r="Q20" s="39">
        <f>Debt!Q39</f>
        <v>0</v>
      </c>
      <c r="R20" s="39">
        <f>Debt!R39</f>
        <v>0</v>
      </c>
      <c r="S20" s="39">
        <f>Debt!S39</f>
        <v>0</v>
      </c>
      <c r="T20" s="39">
        <f>Debt!T39</f>
        <v>0</v>
      </c>
      <c r="U20" s="39">
        <f>Debt!U39</f>
        <v>0</v>
      </c>
      <c r="V20" s="39">
        <f>Debt!V39</f>
        <v>66370972.955601186</v>
      </c>
    </row>
    <row r="21" spans="2:22" x14ac:dyDescent="0.15">
      <c r="B21" s="41" t="s">
        <v>392</v>
      </c>
      <c r="C21" s="55">
        <f t="shared" ref="C21:V21" si="5">C30-C20</f>
        <v>0</v>
      </c>
      <c r="D21" s="55">
        <f t="shared" si="5"/>
        <v>0</v>
      </c>
      <c r="E21" s="55">
        <f t="shared" si="5"/>
        <v>0</v>
      </c>
      <c r="F21" s="55">
        <f t="shared" si="5"/>
        <v>0</v>
      </c>
      <c r="G21" s="55">
        <f t="shared" si="5"/>
        <v>0</v>
      </c>
      <c r="H21" s="55">
        <f t="shared" si="5"/>
        <v>0</v>
      </c>
      <c r="I21" s="55">
        <f t="shared" si="5"/>
        <v>0</v>
      </c>
      <c r="J21" s="55">
        <f t="shared" si="5"/>
        <v>0</v>
      </c>
      <c r="K21" s="55">
        <f t="shared" si="5"/>
        <v>0</v>
      </c>
      <c r="L21" s="55">
        <f t="shared" si="5"/>
        <v>0</v>
      </c>
      <c r="M21" s="55">
        <f t="shared" si="5"/>
        <v>-429166.81625046965</v>
      </c>
      <c r="N21" s="55">
        <f t="shared" si="5"/>
        <v>-108055.81790434127</v>
      </c>
      <c r="O21" s="55">
        <f t="shared" si="5"/>
        <v>-777207.98089880461</v>
      </c>
      <c r="P21" s="55">
        <f t="shared" si="5"/>
        <v>-1521387.1100785886</v>
      </c>
      <c r="Q21" s="55">
        <f t="shared" si="5"/>
        <v>-3005681.8262276198</v>
      </c>
      <c r="R21" s="55">
        <f t="shared" si="5"/>
        <v>-3389618.5205554292</v>
      </c>
      <c r="S21" s="55">
        <f t="shared" si="5"/>
        <v>-4879006.6869790684</v>
      </c>
      <c r="T21" s="55">
        <f t="shared" si="5"/>
        <v>-5321138.3318464449</v>
      </c>
      <c r="U21" s="55">
        <f t="shared" si="5"/>
        <v>-6916381.1694784658</v>
      </c>
      <c r="V21" s="55">
        <f t="shared" si="5"/>
        <v>-150213457.26842141</v>
      </c>
    </row>
    <row r="22" spans="2:22" x14ac:dyDescent="0.15">
      <c r="B22" s="8" t="s">
        <v>393</v>
      </c>
      <c r="C22" s="39">
        <f>Reserves!C19</f>
        <v>475077.58136111411</v>
      </c>
      <c r="D22" s="39">
        <f>Reserves!D19</f>
        <v>891939.29396956356</v>
      </c>
      <c r="E22" s="39">
        <f>Reserves!E19</f>
        <v>924817.6917163023</v>
      </c>
      <c r="F22" s="39">
        <f>Reserves!F19</f>
        <v>934935.3419865577</v>
      </c>
      <c r="G22" s="39">
        <f>Reserves!G19</f>
        <v>1122381.8711091971</v>
      </c>
      <c r="H22" s="39">
        <f>Reserves!H19</f>
        <v>1134660.9044184361</v>
      </c>
      <c r="I22" s="39">
        <f>Reserves!I19</f>
        <v>1147074.2722735996</v>
      </c>
      <c r="J22" s="39">
        <f>Reserves!J19</f>
        <v>1159623.4443156419</v>
      </c>
      <c r="K22" s="39">
        <f>Reserves!K19</f>
        <v>1172309.906263619</v>
      </c>
      <c r="L22" s="39">
        <f>Reserves!L19</f>
        <v>1185135.1600905859</v>
      </c>
      <c r="M22" s="39">
        <f>Reserves!M19</f>
        <v>1198100.7242014185</v>
      </c>
      <c r="N22" s="39">
        <f>Reserves!N19</f>
        <v>1211208.133612579</v>
      </c>
      <c r="O22" s="39">
        <f>Reserves!O19</f>
        <v>1224458.9401338499</v>
      </c>
      <c r="P22" s="39">
        <f>Reserves!P19</f>
        <v>1237854.7125520557</v>
      </c>
      <c r="Q22" s="39">
        <f>Reserves!Q19</f>
        <v>1251397.0368167947</v>
      </c>
      <c r="R22" s="39">
        <f>Reserves!R19</f>
        <v>1265087.5162282009</v>
      </c>
      <c r="S22" s="39">
        <f>Reserves!S19</f>
        <v>1278927.771626764</v>
      </c>
      <c r="T22" s="39">
        <f>Reserves!T19</f>
        <v>1292919.4415852213</v>
      </c>
      <c r="U22" s="39">
        <f>Reserves!U19</f>
        <v>1307064.1826025527</v>
      </c>
      <c r="V22" s="39">
        <f>Reserves!V19</f>
        <v>1321363.6693000963</v>
      </c>
    </row>
    <row r="23" spans="2:22" x14ac:dyDescent="0.15">
      <c r="B23" s="8" t="s">
        <v>394</v>
      </c>
      <c r="C23" s="39">
        <f>Construction!$D$53*Assumptions!$F$68*(Assumptions!$F$69/12)</f>
        <v>2624400</v>
      </c>
      <c r="D23" s="39">
        <v>0</v>
      </c>
      <c r="E23" s="39">
        <v>0</v>
      </c>
      <c r="F23" s="39">
        <v>0</v>
      </c>
      <c r="G23" s="39">
        <v>0</v>
      </c>
      <c r="H23" s="39">
        <v>0</v>
      </c>
      <c r="I23" s="39">
        <v>0</v>
      </c>
      <c r="J23" s="39">
        <v>0</v>
      </c>
      <c r="K23" s="39">
        <v>0</v>
      </c>
      <c r="L23" s="39">
        <v>0</v>
      </c>
      <c r="M23" s="39">
        <v>0</v>
      </c>
      <c r="N23" s="39">
        <v>0</v>
      </c>
      <c r="O23" s="39">
        <v>0</v>
      </c>
      <c r="P23" s="39">
        <v>0</v>
      </c>
      <c r="Q23" s="39">
        <v>0</v>
      </c>
      <c r="R23" s="39">
        <v>0</v>
      </c>
      <c r="S23" s="39">
        <v>0</v>
      </c>
      <c r="T23" s="39">
        <v>0</v>
      </c>
      <c r="U23" s="39">
        <v>0</v>
      </c>
      <c r="V23" s="39">
        <v>0</v>
      </c>
    </row>
    <row r="24" spans="2:22" x14ac:dyDescent="0.15">
      <c r="B24" s="8" t="s">
        <v>395</v>
      </c>
      <c r="C24" s="39">
        <f>WorkingCap!C19</f>
        <v>0</v>
      </c>
      <c r="D24" s="39">
        <f>WorkingCap!D19</f>
        <v>0</v>
      </c>
      <c r="E24" s="39">
        <f>WorkingCap!E19</f>
        <v>0</v>
      </c>
      <c r="F24" s="39">
        <f>WorkingCap!F19</f>
        <v>0</v>
      </c>
      <c r="G24" s="39">
        <f>WorkingCap!G19</f>
        <v>1840140.2260717079</v>
      </c>
      <c r="H24" s="39">
        <f>WorkingCap!H19</f>
        <v>0</v>
      </c>
      <c r="I24" s="39">
        <f>WorkingCap!I19</f>
        <v>541481.40612724051</v>
      </c>
      <c r="J24" s="39">
        <f>WorkingCap!J19</f>
        <v>0</v>
      </c>
      <c r="K24" s="39">
        <f>WorkingCap!K19</f>
        <v>493122.19835813716</v>
      </c>
      <c r="L24" s="39">
        <f>WorkingCap!L19</f>
        <v>0</v>
      </c>
      <c r="M24" s="39">
        <f>WorkingCap!M19</f>
        <v>591890.69166614488</v>
      </c>
      <c r="N24" s="39">
        <f>WorkingCap!N19</f>
        <v>0</v>
      </c>
      <c r="O24" s="39">
        <f>WorkingCap!O19</f>
        <v>619250.91615656391</v>
      </c>
      <c r="P24" s="39">
        <f>WorkingCap!P19</f>
        <v>0</v>
      </c>
      <c r="Q24" s="39">
        <f>WorkingCap!Q19</f>
        <v>648168.97420398891</v>
      </c>
      <c r="R24" s="39">
        <f>WorkingCap!R19</f>
        <v>0</v>
      </c>
      <c r="S24" s="39">
        <f>WorkingCap!S19</f>
        <v>678742.86538795009</v>
      </c>
      <c r="T24" s="39">
        <f>WorkingCap!T19</f>
        <v>0</v>
      </c>
      <c r="U24" s="39">
        <f>WorkingCap!U19</f>
        <v>711076.99376137555</v>
      </c>
      <c r="V24" s="39">
        <f>WorkingCap!V19</f>
        <v>0</v>
      </c>
    </row>
    <row r="25" spans="2:22" x14ac:dyDescent="0.15">
      <c r="B25" s="8" t="s">
        <v>396</v>
      </c>
      <c r="C25" s="39">
        <f>WorkingCap!C18</f>
        <v>0</v>
      </c>
      <c r="D25" s="39">
        <f>WorkingCap!D18</f>
        <v>639278.46311426547</v>
      </c>
      <c r="E25" s="39">
        <f>WorkingCap!E18</f>
        <v>711525.5753444545</v>
      </c>
      <c r="F25" s="39">
        <f>WorkingCap!F18</f>
        <v>815707.74086156208</v>
      </c>
      <c r="G25" s="39">
        <f>WorkingCap!G18</f>
        <v>739304.35148211767</v>
      </c>
      <c r="H25" s="39">
        <f>WorkingCap!H18</f>
        <v>825000</v>
      </c>
      <c r="I25" s="39">
        <f>WorkingCap!I18</f>
        <v>728772.7912836771</v>
      </c>
      <c r="J25" s="39">
        <f>WorkingCap!J18</f>
        <v>825000</v>
      </c>
      <c r="K25" s="39">
        <f>WorkingCap!K18</f>
        <v>722040.82097168791</v>
      </c>
      <c r="L25" s="39">
        <f>WorkingCap!L18</f>
        <v>825000</v>
      </c>
      <c r="M25" s="39">
        <f>WorkingCap!M18</f>
        <v>714853.08253148582</v>
      </c>
      <c r="N25" s="39">
        <f>WorkingCap!N18</f>
        <v>825000</v>
      </c>
      <c r="O25" s="39">
        <f>WorkingCap!O18</f>
        <v>707179.0380788286</v>
      </c>
      <c r="P25" s="39">
        <f>WorkingCap!P18</f>
        <v>825000</v>
      </c>
      <c r="Q25" s="39">
        <f>WorkingCap!Q18</f>
        <v>698986.11049698817</v>
      </c>
      <c r="R25" s="39">
        <f>WorkingCap!R18</f>
        <v>825000</v>
      </c>
      <c r="S25" s="39">
        <f>WorkingCap!S18</f>
        <v>690239.54741370992</v>
      </c>
      <c r="T25" s="39">
        <f>WorkingCap!T18</f>
        <v>825000</v>
      </c>
      <c r="U25" s="39">
        <f>WorkingCap!U18</f>
        <v>680902.27610831766</v>
      </c>
      <c r="V25" s="39">
        <f>WorkingCap!V18</f>
        <v>825000</v>
      </c>
    </row>
    <row r="26" spans="2:22" x14ac:dyDescent="0.15">
      <c r="B26" s="40" t="s">
        <v>397</v>
      </c>
      <c r="C26" s="18">
        <f t="shared" ref="C26:V26" si="6">C21</f>
        <v>0</v>
      </c>
      <c r="D26" s="18">
        <f t="shared" si="6"/>
        <v>0</v>
      </c>
      <c r="E26" s="18">
        <f t="shared" si="6"/>
        <v>0</v>
      </c>
      <c r="F26" s="18">
        <f t="shared" si="6"/>
        <v>0</v>
      </c>
      <c r="G26" s="18">
        <f t="shared" si="6"/>
        <v>0</v>
      </c>
      <c r="H26" s="18">
        <f t="shared" si="6"/>
        <v>0</v>
      </c>
      <c r="I26" s="18">
        <f t="shared" si="6"/>
        <v>0</v>
      </c>
      <c r="J26" s="18">
        <f t="shared" si="6"/>
        <v>0</v>
      </c>
      <c r="K26" s="18">
        <f t="shared" si="6"/>
        <v>0</v>
      </c>
      <c r="L26" s="18">
        <f t="shared" si="6"/>
        <v>0</v>
      </c>
      <c r="M26" s="18">
        <f t="shared" si="6"/>
        <v>-429166.81625046965</v>
      </c>
      <c r="N26" s="18">
        <f t="shared" si="6"/>
        <v>-108055.81790434127</v>
      </c>
      <c r="O26" s="18">
        <f t="shared" si="6"/>
        <v>-777207.98089880461</v>
      </c>
      <c r="P26" s="18">
        <f t="shared" si="6"/>
        <v>-1521387.1100785886</v>
      </c>
      <c r="Q26" s="18">
        <f t="shared" si="6"/>
        <v>-3005681.8262276198</v>
      </c>
      <c r="R26" s="18">
        <f t="shared" si="6"/>
        <v>-3389618.5205554292</v>
      </c>
      <c r="S26" s="18">
        <f t="shared" si="6"/>
        <v>-4879006.6869790684</v>
      </c>
      <c r="T26" s="18">
        <f t="shared" si="6"/>
        <v>-5321138.3318464449</v>
      </c>
      <c r="U26" s="18">
        <f t="shared" si="6"/>
        <v>-6916381.1694784658</v>
      </c>
      <c r="V26" s="18">
        <f t="shared" si="6"/>
        <v>-150213457.26842141</v>
      </c>
    </row>
    <row r="27" spans="2:22" x14ac:dyDescent="0.15">
      <c r="B27" s="8" t="s">
        <v>398</v>
      </c>
      <c r="C27" s="115" t="str">
        <f>IF(Debt!C15&lt;Assumptions!$F$84,"TRAP","RELEASE")</f>
        <v>RELEASE</v>
      </c>
      <c r="D27" s="115" t="str">
        <f>IF(Debt!D15&lt;Assumptions!$F$84,"TRAP","RELEASE")</f>
        <v>RELEASE</v>
      </c>
      <c r="E27" s="115" t="str">
        <f>IF(Debt!E15&lt;Assumptions!$F$84,"TRAP","RELEASE")</f>
        <v>RELEASE</v>
      </c>
      <c r="F27" s="115" t="str">
        <f>IF(Debt!F15&lt;Assumptions!$F$84,"TRAP","RELEASE")</f>
        <v>RELEASE</v>
      </c>
      <c r="G27" s="115" t="str">
        <f>IF(Debt!G15&lt;Assumptions!$F$84,"TRAP","RELEASE")</f>
        <v>RELEASE</v>
      </c>
      <c r="H27" s="115" t="str">
        <f>IF(Debt!H15&lt;Assumptions!$F$84,"TRAP","RELEASE")</f>
        <v>RELEASE</v>
      </c>
      <c r="I27" s="115" t="str">
        <f>IF(Debt!I15&lt;Assumptions!$F$84,"TRAP","RELEASE")</f>
        <v>RELEASE</v>
      </c>
      <c r="J27" s="115" t="str">
        <f>IF(Debt!J15&lt;Assumptions!$F$84,"TRAP","RELEASE")</f>
        <v>RELEASE</v>
      </c>
      <c r="K27" s="115" t="str">
        <f>IF(Debt!K15&lt;Assumptions!$F$84,"TRAP","RELEASE")</f>
        <v>RELEASE</v>
      </c>
      <c r="L27" s="115" t="str">
        <f>IF(Debt!L15&lt;Assumptions!$F$84,"TRAP","RELEASE")</f>
        <v>RELEASE</v>
      </c>
      <c r="M27" s="115" t="str">
        <f>IF(Debt!M15&lt;Assumptions!$F$84,"TRAP","RELEASE")</f>
        <v>RELEASE</v>
      </c>
      <c r="N27" s="115" t="str">
        <f>IF(Debt!N15&lt;Assumptions!$F$84,"TRAP","RELEASE")</f>
        <v>RELEASE</v>
      </c>
      <c r="O27" s="115" t="str">
        <f>IF(Debt!O15&lt;Assumptions!$F$84,"TRAP","RELEASE")</f>
        <v>RELEASE</v>
      </c>
      <c r="P27" s="115" t="str">
        <f>IF(Debt!P15&lt;Assumptions!$F$84,"TRAP","RELEASE")</f>
        <v>TRAP</v>
      </c>
      <c r="Q27" s="115" t="str">
        <f>IF(Debt!Q15&lt;Assumptions!$F$84,"TRAP","RELEASE")</f>
        <v>TRAP</v>
      </c>
      <c r="R27" s="115" t="str">
        <f>IF(Debt!R15&lt;Assumptions!$F$84,"TRAP","RELEASE")</f>
        <v>TRAP</v>
      </c>
      <c r="S27" s="115" t="str">
        <f>IF(Debt!S15&lt;Assumptions!$F$84,"TRAP","RELEASE")</f>
        <v>TRAP</v>
      </c>
      <c r="T27" s="115" t="str">
        <f>IF(Debt!T15&lt;Assumptions!$F$84,"TRAP","RELEASE")</f>
        <v>TRAP</v>
      </c>
      <c r="U27" s="115" t="str">
        <f>IF(Debt!U15&lt;Assumptions!$F$84,"TRAP","RELEASE")</f>
        <v>TRAP</v>
      </c>
      <c r="V27" s="115" t="str">
        <f>IF(Debt!V15&lt;Assumptions!$F$84,"TRAP","RELEASE")</f>
        <v>TRAP</v>
      </c>
    </row>
    <row r="28" spans="2:22" x14ac:dyDescent="0.15">
      <c r="B28" s="8" t="s">
        <v>399</v>
      </c>
      <c r="C28" s="39">
        <v>0</v>
      </c>
      <c r="D28" s="39">
        <f t="shared" ref="D28:V28" si="7">C29</f>
        <v>0</v>
      </c>
      <c r="E28" s="39">
        <f t="shared" si="7"/>
        <v>0</v>
      </c>
      <c r="F28" s="39">
        <f t="shared" si="7"/>
        <v>0</v>
      </c>
      <c r="G28" s="39">
        <f t="shared" si="7"/>
        <v>0</v>
      </c>
      <c r="H28" s="39">
        <f t="shared" si="7"/>
        <v>0</v>
      </c>
      <c r="I28" s="39">
        <f t="shared" si="7"/>
        <v>0</v>
      </c>
      <c r="J28" s="39">
        <f t="shared" si="7"/>
        <v>0</v>
      </c>
      <c r="K28" s="39">
        <f t="shared" si="7"/>
        <v>0</v>
      </c>
      <c r="L28" s="39">
        <f t="shared" si="7"/>
        <v>0</v>
      </c>
      <c r="M28" s="39">
        <f t="shared" si="7"/>
        <v>0</v>
      </c>
      <c r="N28" s="39">
        <f t="shared" si="7"/>
        <v>0</v>
      </c>
      <c r="O28" s="39">
        <f t="shared" si="7"/>
        <v>0</v>
      </c>
      <c r="P28" s="39">
        <f t="shared" si="7"/>
        <v>0</v>
      </c>
      <c r="Q28" s="39">
        <f t="shared" si="7"/>
        <v>0</v>
      </c>
      <c r="R28" s="39">
        <f t="shared" si="7"/>
        <v>0</v>
      </c>
      <c r="S28" s="39">
        <f t="shared" si="7"/>
        <v>0</v>
      </c>
      <c r="T28" s="39">
        <f t="shared" si="7"/>
        <v>0</v>
      </c>
      <c r="U28" s="39">
        <f t="shared" si="7"/>
        <v>0</v>
      </c>
      <c r="V28" s="39">
        <f t="shared" si="7"/>
        <v>0</v>
      </c>
    </row>
    <row r="29" spans="2:22" x14ac:dyDescent="0.15">
      <c r="B29" s="8" t="s">
        <v>400</v>
      </c>
      <c r="C29" s="39">
        <f t="shared" ref="C29:V29" si="8">IF(C27="TRAP",C28+MAX(0,C26),0)</f>
        <v>0</v>
      </c>
      <c r="D29" s="39">
        <f t="shared" si="8"/>
        <v>0</v>
      </c>
      <c r="E29" s="39">
        <f t="shared" si="8"/>
        <v>0</v>
      </c>
      <c r="F29" s="39">
        <f t="shared" si="8"/>
        <v>0</v>
      </c>
      <c r="G29" s="39">
        <f t="shared" si="8"/>
        <v>0</v>
      </c>
      <c r="H29" s="39">
        <f t="shared" si="8"/>
        <v>0</v>
      </c>
      <c r="I29" s="39">
        <f t="shared" si="8"/>
        <v>0</v>
      </c>
      <c r="J29" s="39">
        <f t="shared" si="8"/>
        <v>0</v>
      </c>
      <c r="K29" s="39">
        <f t="shared" si="8"/>
        <v>0</v>
      </c>
      <c r="L29" s="39">
        <f t="shared" si="8"/>
        <v>0</v>
      </c>
      <c r="M29" s="39">
        <f t="shared" si="8"/>
        <v>0</v>
      </c>
      <c r="N29" s="39">
        <f t="shared" si="8"/>
        <v>0</v>
      </c>
      <c r="O29" s="39">
        <f t="shared" si="8"/>
        <v>0</v>
      </c>
      <c r="P29" s="39">
        <f t="shared" si="8"/>
        <v>0</v>
      </c>
      <c r="Q29" s="39">
        <f t="shared" si="8"/>
        <v>0</v>
      </c>
      <c r="R29" s="39">
        <f t="shared" si="8"/>
        <v>0</v>
      </c>
      <c r="S29" s="39">
        <f t="shared" si="8"/>
        <v>0</v>
      </c>
      <c r="T29" s="39">
        <f t="shared" si="8"/>
        <v>0</v>
      </c>
      <c r="U29" s="39">
        <f t="shared" si="8"/>
        <v>0</v>
      </c>
      <c r="V29" s="39">
        <f t="shared" si="8"/>
        <v>0</v>
      </c>
    </row>
    <row r="30" spans="2:22" x14ac:dyDescent="0.15">
      <c r="B30" s="27" t="s">
        <v>364</v>
      </c>
      <c r="C30" s="49">
        <f>C11-C22-C23-C24-C25</f>
        <v>2506768.7895319508</v>
      </c>
      <c r="D30" s="49">
        <f t="shared" ref="C30:V30" si="9">D11-D22-D23-D24-D25</f>
        <v>9397515.1250244193</v>
      </c>
      <c r="E30" s="49">
        <f t="shared" si="9"/>
        <v>2350032.6973001175</v>
      </c>
      <c r="F30" s="49">
        <f t="shared" si="9"/>
        <v>1687685.0781059721</v>
      </c>
      <c r="G30" s="49">
        <f>G11-G22-G23-G24-G25</f>
        <v>85225.519388906541</v>
      </c>
      <c r="H30" s="49">
        <f t="shared" si="9"/>
        <v>825875.83171870629</v>
      </c>
      <c r="I30" s="49">
        <f t="shared" si="9"/>
        <v>251928.40962548903</v>
      </c>
      <c r="J30" s="49">
        <f t="shared" si="9"/>
        <v>562543.86813412257</v>
      </c>
      <c r="K30" s="49">
        <f t="shared" si="9"/>
        <v>190722.35340352834</v>
      </c>
      <c r="L30" s="49">
        <f t="shared" si="9"/>
        <v>206364.50467390032</v>
      </c>
      <c r="M30" s="49">
        <f t="shared" si="9"/>
        <v>-429166.81625046965</v>
      </c>
      <c r="N30" s="49">
        <f t="shared" si="9"/>
        <v>-108055.81790434127</v>
      </c>
      <c r="O30" s="49">
        <f t="shared" si="9"/>
        <v>-777207.98089880461</v>
      </c>
      <c r="P30" s="49">
        <f t="shared" si="9"/>
        <v>-1521387.1100785886</v>
      </c>
      <c r="Q30" s="49">
        <f t="shared" si="9"/>
        <v>-3005681.8262276198</v>
      </c>
      <c r="R30" s="49">
        <f t="shared" si="9"/>
        <v>-3389618.5205554292</v>
      </c>
      <c r="S30" s="49">
        <f t="shared" si="9"/>
        <v>-4879006.6869790684</v>
      </c>
      <c r="T30" s="49">
        <f t="shared" si="9"/>
        <v>-5321138.3318464449</v>
      </c>
      <c r="U30" s="49">
        <f t="shared" si="9"/>
        <v>-6916381.1694784658</v>
      </c>
      <c r="V30" s="49">
        <f t="shared" si="9"/>
        <v>-83842484.312820211</v>
      </c>
    </row>
  </sheetData>
  <mergeCells count="3">
    <mergeCell ref="B2:V3"/>
    <mergeCell ref="B6:V6"/>
    <mergeCell ref="B16:V16"/>
  </mergeCells>
  <hyperlinks>
    <hyperlink ref="D5" location="Cover!A1" display="&lt;&lt;&lt;&lt;" xr:uid="{2BC709EA-09A7-FD4B-9694-4535E280492E}"/>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F6B69"/>
  </sheetPr>
  <dimension ref="B2:V23"/>
  <sheetViews>
    <sheetView showGridLines="0" zoomScaleNormal="100" workbookViewId="0">
      <pane xSplit="2" ySplit="6" topLeftCell="C7" activePane="bottomRight" state="frozen"/>
      <selection activeCell="H27" sqref="H27"/>
      <selection pane="topRight" activeCell="H27" sqref="H27"/>
      <selection pane="bottomLeft" activeCell="H27" sqref="H27"/>
      <selection pane="bottomRight" activeCell="C7" sqref="C7"/>
    </sheetView>
  </sheetViews>
  <sheetFormatPr baseColWidth="10" defaultColWidth="8.6640625" defaultRowHeight="14" x14ac:dyDescent="0.15"/>
  <cols>
    <col min="1" max="1" width="2" style="2" customWidth="1"/>
    <col min="2" max="2" width="44" style="2" customWidth="1"/>
    <col min="3" max="22" width="13" style="2" customWidth="1"/>
    <col min="23" max="16384" width="8.6640625" style="2"/>
  </cols>
  <sheetData>
    <row r="2" spans="2:22" x14ac:dyDescent="0.15">
      <c r="B2" s="53" t="s">
        <v>401</v>
      </c>
      <c r="C2" s="53"/>
      <c r="D2" s="53"/>
      <c r="E2" s="53"/>
      <c r="F2" s="53"/>
      <c r="G2" s="53"/>
      <c r="H2" s="53"/>
      <c r="I2" s="53"/>
      <c r="J2" s="53"/>
      <c r="K2" s="53"/>
      <c r="L2" s="53"/>
      <c r="M2" s="53"/>
      <c r="N2" s="53"/>
      <c r="O2" s="53"/>
      <c r="P2" s="53"/>
      <c r="Q2" s="53"/>
      <c r="R2" s="53"/>
      <c r="S2" s="53"/>
      <c r="T2" s="53"/>
      <c r="U2" s="53"/>
      <c r="V2" s="53"/>
    </row>
    <row r="3" spans="2:22" x14ac:dyDescent="0.15">
      <c r="B3" s="53"/>
      <c r="C3" s="53"/>
      <c r="D3" s="53"/>
      <c r="E3" s="53"/>
      <c r="F3" s="53"/>
      <c r="G3" s="53"/>
      <c r="H3" s="53"/>
      <c r="I3" s="53"/>
      <c r="J3" s="53"/>
      <c r="K3" s="53"/>
      <c r="L3" s="53"/>
      <c r="M3" s="53"/>
      <c r="N3" s="53"/>
      <c r="O3" s="53"/>
      <c r="P3" s="53"/>
      <c r="Q3" s="53"/>
      <c r="R3" s="53"/>
      <c r="S3" s="53"/>
      <c r="T3" s="53"/>
      <c r="U3" s="53"/>
      <c r="V3" s="53"/>
    </row>
    <row r="4" spans="2:22" ht="31.5" customHeight="1" x14ac:dyDescent="0.15">
      <c r="B4" s="34" t="s">
        <v>402</v>
      </c>
      <c r="C4" s="34"/>
      <c r="D4" s="34"/>
      <c r="E4" s="34"/>
      <c r="F4" s="34"/>
      <c r="G4" s="34"/>
      <c r="H4" s="34"/>
      <c r="I4" s="34"/>
      <c r="J4" s="34"/>
      <c r="K4" s="34"/>
      <c r="L4" s="34"/>
      <c r="M4" s="34"/>
      <c r="N4" s="34"/>
      <c r="O4" s="34"/>
      <c r="P4" s="34"/>
      <c r="Q4" s="34"/>
      <c r="R4" s="34"/>
      <c r="S4" s="34"/>
      <c r="T4" s="34"/>
      <c r="U4" s="34"/>
      <c r="V4" s="34"/>
    </row>
    <row r="5" spans="2:22" ht="16" x14ac:dyDescent="0.2">
      <c r="B5" s="3" t="s">
        <v>33</v>
      </c>
      <c r="C5" s="4" t="str">
        <f>Cover!$C$9</f>
        <v>Base</v>
      </c>
      <c r="D5" s="84" t="s">
        <v>683</v>
      </c>
    </row>
    <row r="6" spans="2:22" x14ac:dyDescent="0.15">
      <c r="B6" s="54" t="s">
        <v>403</v>
      </c>
      <c r="C6" s="54"/>
      <c r="D6" s="54"/>
      <c r="E6" s="54"/>
      <c r="F6" s="54"/>
      <c r="G6" s="54"/>
      <c r="H6" s="54"/>
      <c r="I6" s="54"/>
      <c r="J6" s="54"/>
      <c r="K6" s="54"/>
      <c r="L6" s="54"/>
      <c r="M6" s="54"/>
      <c r="N6" s="54"/>
      <c r="O6" s="54"/>
      <c r="P6" s="54"/>
      <c r="Q6" s="54"/>
      <c r="R6" s="54"/>
      <c r="S6" s="54"/>
      <c r="T6" s="54"/>
      <c r="U6" s="54"/>
      <c r="V6" s="54"/>
    </row>
    <row r="7" spans="2:22" x14ac:dyDescent="0.15">
      <c r="B7" s="8" t="s">
        <v>404</v>
      </c>
      <c r="C7" s="39">
        <f>Operations!C29*Assumptions!$F$86/182.5</f>
        <v>9625673.0575941186</v>
      </c>
      <c r="D7" s="39">
        <f>Operations!D29*Assumptions!$F$86/182.5</f>
        <v>10562788.241365982</v>
      </c>
      <c r="E7" s="39">
        <f>Operations!E29*Assumptions!$F$86/182.5</f>
        <v>10717120.754438134</v>
      </c>
      <c r="F7" s="39">
        <f>Operations!F29*Assumptions!$F$86/182.5</f>
        <v>10825975.58351017</v>
      </c>
      <c r="G7" s="39">
        <f>Operations!G29*Assumptions!$F$86/182.5</f>
        <v>11797650.937972147</v>
      </c>
      <c r="H7" s="39">
        <f>Operations!H29*Assumptions!$F$86/182.5</f>
        <v>11917749.97609265</v>
      </c>
      <c r="I7" s="39">
        <f>Operations!I29*Assumptions!$F$86/182.5</f>
        <v>12039162.916484248</v>
      </c>
      <c r="J7" s="39">
        <f>Operations!J29*Assumptions!$F$86/182.5</f>
        <v>12161904.133443398</v>
      </c>
      <c r="K7" s="39">
        <f>Operations!K29*Assumptions!$F$86/182.5</f>
        <v>12213114.048934573</v>
      </c>
      <c r="L7" s="39">
        <f>Operations!L29*Assumptions!$F$86/182.5</f>
        <v>12338555.572666826</v>
      </c>
      <c r="M7" s="39">
        <f>Operations!M29*Assumptions!$F$86/182.5</f>
        <v>12465369.446298802</v>
      </c>
      <c r="N7" s="39">
        <f>Operations!N29*Assumptions!$F$86/182.5</f>
        <v>12593570.68355317</v>
      </c>
      <c r="O7" s="39">
        <f>Operations!O29*Assumptions!$F$86/182.5</f>
        <v>12723174.462405054</v>
      </c>
      <c r="P7" s="39">
        <f>Operations!P29*Assumptions!$F$86/182.5</f>
        <v>12854196.12687901</v>
      </c>
      <c r="Q7" s="39">
        <f>Operations!Q29*Assumptions!$F$86/182.5</f>
        <v>12986651.188865634</v>
      </c>
      <c r="R7" s="39">
        <f>Operations!R29*Assumptions!$F$86/182.5</f>
        <v>13120555.32995802</v>
      </c>
      <c r="S7" s="39">
        <f>Operations!S29*Assumptions!$F$86/182.5</f>
        <v>13255924.403308351</v>
      </c>
      <c r="T7" s="39">
        <f>Operations!T29*Assumptions!$F$86/182.5</f>
        <v>13392774.435504766</v>
      </c>
      <c r="U7" s="39">
        <f>Operations!U29*Assumptions!$F$86/182.5</f>
        <v>13531121.628468804</v>
      </c>
      <c r="V7" s="39">
        <f>Operations!V29*Assumptions!$F$86/182.5</f>
        <v>13670982.361373546</v>
      </c>
    </row>
    <row r="8" spans="2:22" x14ac:dyDescent="0.15">
      <c r="B8" s="8" t="s">
        <v>405</v>
      </c>
      <c r="C8" s="39">
        <f>Operations!C36*Assumptions!$F$87/182.5*(IF(Operations!C9="H1",Assumptions!$F$92/0.5,(1-Assumptions!$F$92)/0.5))</f>
        <v>2290931.1331627085</v>
      </c>
      <c r="D8" s="39">
        <f>Operations!D36*Assumptions!$F$87/182.5*(IF(Operations!D9="H1",Assumptions!$F$92/0.5,(1-Assumptions!$F$92)/0.5))</f>
        <v>2965803.5750573287</v>
      </c>
      <c r="E8" s="39">
        <f>Operations!E36*Assumptions!$F$87/182.5*(IF(Operations!E9="H1",Assumptions!$F$92/0.5,(1-Assumptions!$F$92)/0.5))</f>
        <v>4771664.6679216167</v>
      </c>
      <c r="F8" s="39">
        <f>Operations!F36*Assumptions!$F$87/182.5*(IF(Operations!F9="H1",Assumptions!$F$92/0.5,(1-Assumptions!$F$92)/0.5))</f>
        <v>3327239.761762457</v>
      </c>
      <c r="G8" s="39">
        <f>Operations!G36*Assumptions!$F$87/182.5*(IF(Operations!G9="H1",Assumptions!$F$92/0.5,(1-Assumptions!$F$92)/0.5))</f>
        <v>5859857.5298251882</v>
      </c>
      <c r="H8" s="39">
        <f>Operations!H36*Assumptions!$F$87/182.5*(IF(Operations!H9="H1",Assumptions!$F$92/0.5,(1-Assumptions!$F$92)/0.5))</f>
        <v>4034689.8887397498</v>
      </c>
      <c r="I8" s="39">
        <f>Operations!I36*Assumptions!$F$87/182.5*(IF(Operations!I9="H1",Assumptions!$F$92/0.5,(1-Assumptions!$F$92)/0.5))</f>
        <v>6250514.6984802019</v>
      </c>
      <c r="J8" s="39">
        <f>Operations!J36*Assumptions!$F$87/182.5*(IF(Operations!J9="H1",Assumptions!$F$92/0.5,(1-Assumptions!$F$92)/0.5))</f>
        <v>4303669.2146557327</v>
      </c>
      <c r="K8" s="39">
        <f>Operations!K36*Assumptions!$F$87/182.5*(IF(Operations!K9="H1",Assumptions!$F$92/0.5,(1-Assumptions!$F$92)/0.5))</f>
        <v>6667215.6783788828</v>
      </c>
      <c r="L8" s="39">
        <f>Operations!L36*Assumptions!$F$87/182.5*(IF(Operations!L9="H1",Assumptions!$F$92/0.5,(1-Assumptions!$F$92)/0.5))</f>
        <v>4590580.4956327816</v>
      </c>
      <c r="M8" s="39">
        <f>Operations!M36*Assumptions!$F$87/182.5*(IF(Operations!M9="H1",Assumptions!$F$92/0.5,(1-Assumptions!$F$92)/0.5))</f>
        <v>7111696.7236041427</v>
      </c>
      <c r="N8" s="39">
        <f>Operations!N36*Assumptions!$F$87/182.5*(IF(Operations!N9="H1",Assumptions!$F$92/0.5,(1-Assumptions!$F$92)/0.5))</f>
        <v>4896619.1953416346</v>
      </c>
      <c r="O8" s="39">
        <f>Operations!O36*Assumptions!$F$87/182.5*(IF(Operations!O9="H1",Assumptions!$F$92/0.5,(1-Assumptions!$F$92)/0.5))</f>
        <v>7585809.8385110842</v>
      </c>
      <c r="P8" s="39">
        <f>Operations!P36*Assumptions!$F$87/182.5*(IF(Operations!P9="H1",Assumptions!$F$92/0.5,(1-Assumptions!$F$92)/0.5))</f>
        <v>5223060.4750310769</v>
      </c>
      <c r="Q8" s="39">
        <f>Operations!Q36*Assumptions!$F$87/182.5*(IF(Operations!Q9="H1",Assumptions!$F$92/0.5,(1-Assumptions!$F$92)/0.5))</f>
        <v>8091530.4944118261</v>
      </c>
      <c r="R8" s="39">
        <f>Operations!R36*Assumptions!$F$87/182.5*(IF(Operations!R9="H1",Assumptions!$F$92/0.5,(1-Assumptions!$F$92)/0.5))</f>
        <v>5571264.5066998154</v>
      </c>
      <c r="S8" s="39">
        <f>Operations!S36*Assumptions!$F$87/182.5*(IF(Operations!S9="H1",Assumptions!$F$92/0.5,(1-Assumptions!$F$92)/0.5))</f>
        <v>8630965.8607059438</v>
      </c>
      <c r="T8" s="39">
        <f>Operations!T36*Assumptions!$F$87/182.5*(IF(Operations!T9="H1",Assumptions!$F$92/0.5,(1-Assumptions!$F$92)/0.5))</f>
        <v>5942682.1404798031</v>
      </c>
      <c r="U8" s="39">
        <f>Operations!U36*Assumptions!$F$87/182.5*(IF(Operations!U9="H1",Assumptions!$F$92/0.5,(1-Assumptions!$F$92)/0.5))</f>
        <v>9206363.5847530067</v>
      </c>
      <c r="V8" s="39">
        <f>Operations!V36*Assumptions!$F$87/182.5*(IF(Operations!V9="H1",Assumptions!$F$92/0.5,(1-Assumptions!$F$92)/0.5))</f>
        <v>6338860.9498451259</v>
      </c>
    </row>
    <row r="9" spans="2:22" x14ac:dyDescent="0.15">
      <c r="B9" s="8" t="s">
        <v>406</v>
      </c>
      <c r="C9" s="39">
        <f>Operations!C42*Assumptions!$F$88/182.5</f>
        <v>1615749.8707745003</v>
      </c>
      <c r="D9" s="39">
        <f>Operations!D42*Assumptions!$F$88/182.5</f>
        <v>3115491.2950247941</v>
      </c>
      <c r="E9" s="39">
        <f>Operations!E42*Assumptions!$F$88/182.5</f>
        <v>3318651.6347548487</v>
      </c>
      <c r="F9" s="39">
        <f>Operations!F42*Assumptions!$F$88/182.5</f>
        <v>3447731.6566053098</v>
      </c>
      <c r="G9" s="39">
        <f>Operations!G42*Assumptions!$F$88/182.5</f>
        <v>4065846.3664620281</v>
      </c>
      <c r="H9" s="39">
        <f>Operations!H42*Assumptions!$F$88/182.5</f>
        <v>4181477.1091399421</v>
      </c>
      <c r="I9" s="39">
        <f>Operations!I42*Assumptions!$F$88/182.5</f>
        <v>4300706.2659680042</v>
      </c>
      <c r="J9" s="39">
        <f>Operations!J42*Assumptions!$F$88/182.5</f>
        <v>4423649.7291774452</v>
      </c>
      <c r="K9" s="39">
        <f>Operations!K42*Assumptions!$F$88/182.5</f>
        <v>4550427.168559365</v>
      </c>
      <c r="L9" s="39">
        <f>Operations!L42*Assumptions!$F$88/182.5</f>
        <v>4681162.1550982017</v>
      </c>
      <c r="M9" s="39">
        <f>Operations!M42*Assumptions!$F$88/182.5</f>
        <v>4815982.288657072</v>
      </c>
      <c r="N9" s="39">
        <f>Operations!N42*Assumptions!$F$88/182.5</f>
        <v>4955019.3298478033</v>
      </c>
      <c r="O9" s="39">
        <f>Operations!O42*Assumptions!$F$88/182.5</f>
        <v>5098409.3362228908</v>
      </c>
      <c r="P9" s="39">
        <f>Operations!P42*Assumptions!$F$88/182.5</f>
        <v>5246292.8029310619</v>
      </c>
      <c r="Q9" s="39">
        <f>Operations!Q42*Assumptions!$F$88/182.5</f>
        <v>5398814.8079828471</v>
      </c>
      <c r="R9" s="39">
        <f>Operations!R42*Assumptions!$F$88/182.5</f>
        <v>5556125.162277258</v>
      </c>
      <c r="S9" s="39">
        <f>Operations!S42*Assumptions!$F$88/182.5</f>
        <v>5718378.5645457255</v>
      </c>
      <c r="T9" s="39">
        <f>Operations!T42*Assumptions!$F$88/182.5</f>
        <v>5885734.7613745155</v>
      </c>
      <c r="U9" s="39">
        <f>Operations!U42*Assumptions!$F$88/182.5</f>
        <v>6058358.712472138</v>
      </c>
      <c r="V9" s="39">
        <f>Operations!V42*Assumptions!$F$88/182.5</f>
        <v>6236420.7613537293</v>
      </c>
    </row>
    <row r="10" spans="2:22" x14ac:dyDescent="0.15">
      <c r="B10" s="8" t="s">
        <v>407</v>
      </c>
      <c r="C10" s="39">
        <f>Operations!C36*Assumptions!$F$89/182.5</f>
        <v>1909109.2776355906</v>
      </c>
      <c r="D10" s="39">
        <f>Operations!D36*Assumptions!$F$89/182.5</f>
        <v>3707254.4688216606</v>
      </c>
      <c r="E10" s="39">
        <f>Operations!E36*Assumptions!$F$89/182.5</f>
        <v>3976387.2232680144</v>
      </c>
      <c r="F10" s="39">
        <f>Operations!F36*Assumptions!$F$89/182.5</f>
        <v>4159049.7022030707</v>
      </c>
      <c r="G10" s="39">
        <f>Operations!G36*Assumptions!$F$89/182.5</f>
        <v>4883214.6081876568</v>
      </c>
      <c r="H10" s="39">
        <f>Operations!H36*Assumptions!$F$89/182.5</f>
        <v>5043362.3609246872</v>
      </c>
      <c r="I10" s="39">
        <f>Operations!I36*Assumptions!$F$89/182.5</f>
        <v>5208762.2487335019</v>
      </c>
      <c r="J10" s="39">
        <f>Operations!J36*Assumptions!$F$89/182.5</f>
        <v>5379586.5183196655</v>
      </c>
      <c r="K10" s="39">
        <f>Operations!K36*Assumptions!$F$89/182.5</f>
        <v>5556013.0653157355</v>
      </c>
      <c r="L10" s="39">
        <f>Operations!L36*Assumptions!$F$89/182.5</f>
        <v>5738225.6195409773</v>
      </c>
      <c r="M10" s="39">
        <f>Operations!M36*Assumptions!$F$89/182.5</f>
        <v>5926413.9363367856</v>
      </c>
      <c r="N10" s="39">
        <f>Operations!N36*Assumptions!$F$89/182.5</f>
        <v>6120773.9941770425</v>
      </c>
      <c r="O10" s="39">
        <f>Operations!O36*Assumptions!$F$89/182.5</f>
        <v>6321508.1987592373</v>
      </c>
      <c r="P10" s="39">
        <f>Operations!P36*Assumptions!$F$89/182.5</f>
        <v>6528825.5937888455</v>
      </c>
      <c r="Q10" s="39">
        <f>Operations!Q36*Assumptions!$F$89/182.5</f>
        <v>6742942.0786765218</v>
      </c>
      <c r="R10" s="39">
        <f>Operations!R36*Assumptions!$F$89/182.5</f>
        <v>6964080.6333747692</v>
      </c>
      <c r="S10" s="39">
        <f>Operations!S36*Assumptions!$F$89/182.5</f>
        <v>7192471.5505882865</v>
      </c>
      <c r="T10" s="39">
        <f>Operations!T36*Assumptions!$F$89/182.5</f>
        <v>7428352.6755997529</v>
      </c>
      <c r="U10" s="39">
        <f>Operations!U36*Assumptions!$F$89/182.5</f>
        <v>7671969.6539608389</v>
      </c>
      <c r="V10" s="39">
        <f>Operations!V36*Assumptions!$F$89/182.5</f>
        <v>7923576.1873064069</v>
      </c>
    </row>
    <row r="11" spans="2:22" x14ac:dyDescent="0.15">
      <c r="B11" s="41" t="s">
        <v>408</v>
      </c>
      <c r="C11" s="55">
        <f t="shared" ref="C11:V11" si="0">C7+C8+C9-C10</f>
        <v>11623244.783895737</v>
      </c>
      <c r="D11" s="55">
        <f t="shared" si="0"/>
        <v>12936828.642626446</v>
      </c>
      <c r="E11" s="55">
        <f t="shared" si="0"/>
        <v>14831049.833846584</v>
      </c>
      <c r="F11" s="55">
        <f t="shared" si="0"/>
        <v>13441897.299674867</v>
      </c>
      <c r="G11" s="55">
        <f t="shared" si="0"/>
        <v>16840140.226071708</v>
      </c>
      <c r="H11" s="55">
        <f t="shared" si="0"/>
        <v>15090554.613047656</v>
      </c>
      <c r="I11" s="55">
        <f t="shared" si="0"/>
        <v>17381621.632198948</v>
      </c>
      <c r="J11" s="55">
        <f t="shared" si="0"/>
        <v>15509636.55895691</v>
      </c>
      <c r="K11" s="55">
        <f t="shared" si="0"/>
        <v>17874743.830557086</v>
      </c>
      <c r="L11" s="55">
        <f t="shared" si="0"/>
        <v>15872072.603856828</v>
      </c>
      <c r="M11" s="55">
        <f t="shared" si="0"/>
        <v>18466634.52222323</v>
      </c>
      <c r="N11" s="55">
        <f t="shared" si="0"/>
        <v>16324435.214565568</v>
      </c>
      <c r="O11" s="55">
        <f t="shared" si="0"/>
        <v>19085885.438379794</v>
      </c>
      <c r="P11" s="55">
        <f t="shared" si="0"/>
        <v>16794723.811052307</v>
      </c>
      <c r="Q11" s="55">
        <f t="shared" si="0"/>
        <v>19734054.412583783</v>
      </c>
      <c r="R11" s="55">
        <f t="shared" si="0"/>
        <v>17283864.365560327</v>
      </c>
      <c r="S11" s="55">
        <f t="shared" si="0"/>
        <v>20412797.277971733</v>
      </c>
      <c r="T11" s="55">
        <f t="shared" si="0"/>
        <v>17792838.661759328</v>
      </c>
      <c r="U11" s="55">
        <f t="shared" si="0"/>
        <v>21123874.271733109</v>
      </c>
      <c r="V11" s="55">
        <f t="shared" si="0"/>
        <v>18322687.885265995</v>
      </c>
    </row>
    <row r="12" spans="2:22" x14ac:dyDescent="0.15">
      <c r="B12" s="40" t="s">
        <v>409</v>
      </c>
      <c r="C12" s="18">
        <f>C11</f>
        <v>11623244.783895737</v>
      </c>
      <c r="D12" s="18">
        <f t="shared" ref="D12:V12" si="1">D11-C11</f>
        <v>1313583.8587307092</v>
      </c>
      <c r="E12" s="18">
        <f t="shared" si="1"/>
        <v>1894221.1912201382</v>
      </c>
      <c r="F12" s="18">
        <f t="shared" si="1"/>
        <v>-1389152.5341717172</v>
      </c>
      <c r="G12" s="18">
        <f t="shared" si="1"/>
        <v>3398242.9263968412</v>
      </c>
      <c r="H12" s="18">
        <f t="shared" si="1"/>
        <v>-1749585.6130240522</v>
      </c>
      <c r="I12" s="18">
        <f t="shared" si="1"/>
        <v>2291067.0191512927</v>
      </c>
      <c r="J12" s="18">
        <f t="shared" si="1"/>
        <v>-1871985.0732420385</v>
      </c>
      <c r="K12" s="18">
        <f t="shared" si="1"/>
        <v>2365107.2716001756</v>
      </c>
      <c r="L12" s="18">
        <f t="shared" si="1"/>
        <v>-2002671.2267002575</v>
      </c>
      <c r="M12" s="18">
        <f t="shared" si="1"/>
        <v>2594561.9183664024</v>
      </c>
      <c r="N12" s="18">
        <f t="shared" si="1"/>
        <v>-2142199.3076576628</v>
      </c>
      <c r="O12" s="18">
        <f t="shared" si="1"/>
        <v>2761450.2238142267</v>
      </c>
      <c r="P12" s="18">
        <f t="shared" si="1"/>
        <v>-2291161.6273274869</v>
      </c>
      <c r="Q12" s="18">
        <f t="shared" si="1"/>
        <v>2939330.6015314758</v>
      </c>
      <c r="R12" s="18">
        <f t="shared" si="1"/>
        <v>-2450190.0470234565</v>
      </c>
      <c r="S12" s="18">
        <f t="shared" si="1"/>
        <v>3128932.9124114066</v>
      </c>
      <c r="T12" s="18">
        <f t="shared" si="1"/>
        <v>-2619958.6162124053</v>
      </c>
      <c r="U12" s="18">
        <f t="shared" si="1"/>
        <v>3331035.6099737808</v>
      </c>
      <c r="V12" s="18">
        <f t="shared" si="1"/>
        <v>-2801186.3864671141</v>
      </c>
    </row>
    <row r="13" spans="2:22" x14ac:dyDescent="0.15">
      <c r="B13" s="54" t="s">
        <v>410</v>
      </c>
      <c r="C13" s="54"/>
      <c r="D13" s="54"/>
      <c r="E13" s="54"/>
      <c r="F13" s="54"/>
      <c r="G13" s="54"/>
      <c r="H13" s="54"/>
      <c r="I13" s="54"/>
      <c r="J13" s="54"/>
      <c r="K13" s="54"/>
      <c r="L13" s="54"/>
      <c r="M13" s="54"/>
      <c r="N13" s="54"/>
      <c r="O13" s="54"/>
      <c r="P13" s="54"/>
      <c r="Q13" s="54"/>
      <c r="R13" s="54"/>
      <c r="S13" s="54"/>
      <c r="T13" s="54"/>
      <c r="U13" s="54"/>
      <c r="V13" s="54"/>
    </row>
    <row r="14" spans="2:22" x14ac:dyDescent="0.15">
      <c r="B14" s="8" t="s">
        <v>411</v>
      </c>
      <c r="C14" s="39">
        <v>0</v>
      </c>
      <c r="D14" s="39">
        <f t="shared" ref="D14:V14" si="2">C17</f>
        <v>11623244.783895737</v>
      </c>
      <c r="E14" s="39">
        <f t="shared" si="2"/>
        <v>12936828.642626446</v>
      </c>
      <c r="F14" s="39">
        <f t="shared" si="2"/>
        <v>14831049.833846584</v>
      </c>
      <c r="G14" s="39">
        <f t="shared" si="2"/>
        <v>13441897.299674867</v>
      </c>
      <c r="H14" s="39">
        <f t="shared" si="2"/>
        <v>15000000</v>
      </c>
      <c r="I14" s="39">
        <f t="shared" si="2"/>
        <v>13250414.386975948</v>
      </c>
      <c r="J14" s="39">
        <f t="shared" si="2"/>
        <v>15000000</v>
      </c>
      <c r="K14" s="39">
        <f t="shared" si="2"/>
        <v>13128014.926757962</v>
      </c>
      <c r="L14" s="39">
        <f t="shared" si="2"/>
        <v>15000000</v>
      </c>
      <c r="M14" s="39">
        <f t="shared" si="2"/>
        <v>12997328.773299742</v>
      </c>
      <c r="N14" s="39">
        <f t="shared" si="2"/>
        <v>15000000</v>
      </c>
      <c r="O14" s="39">
        <f t="shared" si="2"/>
        <v>12857800.692342337</v>
      </c>
      <c r="P14" s="39">
        <f t="shared" si="2"/>
        <v>15000000</v>
      </c>
      <c r="Q14" s="39">
        <f t="shared" si="2"/>
        <v>12708838.372672513</v>
      </c>
      <c r="R14" s="39">
        <f t="shared" si="2"/>
        <v>15000000</v>
      </c>
      <c r="S14" s="39">
        <f t="shared" si="2"/>
        <v>12549809.952976543</v>
      </c>
      <c r="T14" s="39">
        <f t="shared" si="2"/>
        <v>15000000</v>
      </c>
      <c r="U14" s="39">
        <f t="shared" si="2"/>
        <v>12380041.383787595</v>
      </c>
      <c r="V14" s="39">
        <f t="shared" si="2"/>
        <v>15000000</v>
      </c>
    </row>
    <row r="15" spans="2:22" x14ac:dyDescent="0.15">
      <c r="B15" s="8" t="s">
        <v>412</v>
      </c>
      <c r="C15" s="39">
        <f>MIN(MAX(0,C12),Assumptions!$F$90-C14)</f>
        <v>11623244.783895737</v>
      </c>
      <c r="D15" s="39">
        <f>MIN(MAX(0,D12),Assumptions!$F$90-D14)</f>
        <v>1313583.8587307092</v>
      </c>
      <c r="E15" s="39">
        <f>MIN(MAX(0,E12),Assumptions!$F$90-E14)</f>
        <v>1894221.1912201382</v>
      </c>
      <c r="F15" s="39">
        <f>MIN(MAX(0,F12),Assumptions!$F$90-F14)</f>
        <v>0</v>
      </c>
      <c r="G15" s="39">
        <f>MIN(MAX(0,G12),Assumptions!$F$90-G14)</f>
        <v>1558102.7003251333</v>
      </c>
      <c r="H15" s="39">
        <f>MIN(MAX(0,H12),Assumptions!$F$90-H14)</f>
        <v>0</v>
      </c>
      <c r="I15" s="39">
        <f>MIN(MAX(0,I12),Assumptions!$F$90-I14)</f>
        <v>1749585.6130240522</v>
      </c>
      <c r="J15" s="39">
        <f>MIN(MAX(0,J12),Assumptions!$F$90-J14)</f>
        <v>0</v>
      </c>
      <c r="K15" s="39">
        <f>MIN(MAX(0,K12),Assumptions!$F$90-K14)</f>
        <v>1871985.0732420385</v>
      </c>
      <c r="L15" s="39">
        <f>MIN(MAX(0,L12),Assumptions!$F$90-L14)</f>
        <v>0</v>
      </c>
      <c r="M15" s="39">
        <f>MIN(MAX(0,M12),Assumptions!$F$90-M14)</f>
        <v>2002671.2267002575</v>
      </c>
      <c r="N15" s="39">
        <f>MIN(MAX(0,N12),Assumptions!$F$90-N14)</f>
        <v>0</v>
      </c>
      <c r="O15" s="39">
        <f>MIN(MAX(0,O12),Assumptions!$F$90-O14)</f>
        <v>2142199.3076576628</v>
      </c>
      <c r="P15" s="39">
        <f>MIN(MAX(0,P12),Assumptions!$F$90-P14)</f>
        <v>0</v>
      </c>
      <c r="Q15" s="39">
        <f>MIN(MAX(0,Q12),Assumptions!$F$90-Q14)</f>
        <v>2291161.6273274869</v>
      </c>
      <c r="R15" s="39">
        <f>MIN(MAX(0,R12),Assumptions!$F$90-R14)</f>
        <v>0</v>
      </c>
      <c r="S15" s="39">
        <f>MIN(MAX(0,S12),Assumptions!$F$90-S14)</f>
        <v>2450190.0470234565</v>
      </c>
      <c r="T15" s="39">
        <f>MIN(MAX(0,T12),Assumptions!$F$90-T14)</f>
        <v>0</v>
      </c>
      <c r="U15" s="39">
        <f>MIN(MAX(0,U12),Assumptions!$F$90-U14)</f>
        <v>2619958.6162124053</v>
      </c>
      <c r="V15" s="39">
        <f>MIN(MAX(0,V12),Assumptions!$F$90-V14)</f>
        <v>0</v>
      </c>
    </row>
    <row r="16" spans="2:22" x14ac:dyDescent="0.15">
      <c r="B16" s="8" t="s">
        <v>413</v>
      </c>
      <c r="C16" s="39">
        <f t="shared" ref="C16:V16" si="3">MIN(C14,MAX(0,-C12))</f>
        <v>0</v>
      </c>
      <c r="D16" s="39">
        <f t="shared" si="3"/>
        <v>0</v>
      </c>
      <c r="E16" s="39">
        <f t="shared" si="3"/>
        <v>0</v>
      </c>
      <c r="F16" s="39">
        <f t="shared" si="3"/>
        <v>1389152.5341717172</v>
      </c>
      <c r="G16" s="39">
        <f t="shared" si="3"/>
        <v>0</v>
      </c>
      <c r="H16" s="39">
        <f t="shared" si="3"/>
        <v>1749585.6130240522</v>
      </c>
      <c r="I16" s="39">
        <f t="shared" si="3"/>
        <v>0</v>
      </c>
      <c r="J16" s="39">
        <f t="shared" si="3"/>
        <v>1871985.0732420385</v>
      </c>
      <c r="K16" s="39">
        <f t="shared" si="3"/>
        <v>0</v>
      </c>
      <c r="L16" s="39">
        <f t="shared" si="3"/>
        <v>2002671.2267002575</v>
      </c>
      <c r="M16" s="39">
        <f t="shared" si="3"/>
        <v>0</v>
      </c>
      <c r="N16" s="39">
        <f t="shared" si="3"/>
        <v>2142199.3076576628</v>
      </c>
      <c r="O16" s="39">
        <f t="shared" si="3"/>
        <v>0</v>
      </c>
      <c r="P16" s="39">
        <f t="shared" si="3"/>
        <v>2291161.6273274869</v>
      </c>
      <c r="Q16" s="39">
        <f t="shared" si="3"/>
        <v>0</v>
      </c>
      <c r="R16" s="39">
        <f t="shared" si="3"/>
        <v>2450190.0470234565</v>
      </c>
      <c r="S16" s="39">
        <f t="shared" si="3"/>
        <v>0</v>
      </c>
      <c r="T16" s="39">
        <f t="shared" si="3"/>
        <v>2619958.6162124053</v>
      </c>
      <c r="U16" s="39">
        <f t="shared" si="3"/>
        <v>0</v>
      </c>
      <c r="V16" s="39">
        <f t="shared" si="3"/>
        <v>2801186.3864671141</v>
      </c>
    </row>
    <row r="17" spans="2:22" x14ac:dyDescent="0.15">
      <c r="B17" s="41" t="s">
        <v>414</v>
      </c>
      <c r="C17" s="55">
        <f t="shared" ref="C17:V17" si="4">C14+C15-C16</f>
        <v>11623244.783895737</v>
      </c>
      <c r="D17" s="55">
        <f t="shared" si="4"/>
        <v>12936828.642626446</v>
      </c>
      <c r="E17" s="55">
        <f t="shared" si="4"/>
        <v>14831049.833846584</v>
      </c>
      <c r="F17" s="55">
        <f t="shared" si="4"/>
        <v>13441897.299674867</v>
      </c>
      <c r="G17" s="55">
        <f t="shared" si="4"/>
        <v>15000000</v>
      </c>
      <c r="H17" s="55">
        <f t="shared" si="4"/>
        <v>13250414.386975948</v>
      </c>
      <c r="I17" s="55">
        <f t="shared" si="4"/>
        <v>15000000</v>
      </c>
      <c r="J17" s="55">
        <f t="shared" si="4"/>
        <v>13128014.926757962</v>
      </c>
      <c r="K17" s="55">
        <f t="shared" si="4"/>
        <v>15000000</v>
      </c>
      <c r="L17" s="55">
        <f t="shared" si="4"/>
        <v>12997328.773299742</v>
      </c>
      <c r="M17" s="55">
        <f t="shared" si="4"/>
        <v>15000000</v>
      </c>
      <c r="N17" s="55">
        <f t="shared" si="4"/>
        <v>12857800.692342337</v>
      </c>
      <c r="O17" s="55">
        <f t="shared" si="4"/>
        <v>15000000</v>
      </c>
      <c r="P17" s="55">
        <f t="shared" si="4"/>
        <v>12708838.372672513</v>
      </c>
      <c r="Q17" s="55">
        <f t="shared" si="4"/>
        <v>15000000</v>
      </c>
      <c r="R17" s="55">
        <f t="shared" si="4"/>
        <v>12549809.952976543</v>
      </c>
      <c r="S17" s="55">
        <f t="shared" si="4"/>
        <v>15000000</v>
      </c>
      <c r="T17" s="55">
        <f t="shared" si="4"/>
        <v>12380041.383787595</v>
      </c>
      <c r="U17" s="55">
        <f t="shared" si="4"/>
        <v>15000000</v>
      </c>
      <c r="V17" s="55">
        <f t="shared" si="4"/>
        <v>12198813.613532886</v>
      </c>
    </row>
    <row r="18" spans="2:22" x14ac:dyDescent="0.15">
      <c r="B18" s="8" t="s">
        <v>415</v>
      </c>
      <c r="C18" s="39">
        <f>C14*Assumptions!$F$91/2</f>
        <v>0</v>
      </c>
      <c r="D18" s="39">
        <f>D14*Assumptions!$F$91/2</f>
        <v>639278.46311426547</v>
      </c>
      <c r="E18" s="39">
        <f>E14*Assumptions!$F$91/2</f>
        <v>711525.5753444545</v>
      </c>
      <c r="F18" s="39">
        <f>F14*Assumptions!$F$91/2</f>
        <v>815707.74086156208</v>
      </c>
      <c r="G18" s="39">
        <f>G14*Assumptions!$F$91/2</f>
        <v>739304.35148211767</v>
      </c>
      <c r="H18" s="39">
        <f>H14*Assumptions!$F$91/2</f>
        <v>825000</v>
      </c>
      <c r="I18" s="39">
        <f>I14*Assumptions!$F$91/2</f>
        <v>728772.7912836771</v>
      </c>
      <c r="J18" s="39">
        <f>J14*Assumptions!$F$91/2</f>
        <v>825000</v>
      </c>
      <c r="K18" s="39">
        <f>K14*Assumptions!$F$91/2</f>
        <v>722040.82097168791</v>
      </c>
      <c r="L18" s="39">
        <f>L14*Assumptions!$F$91/2</f>
        <v>825000</v>
      </c>
      <c r="M18" s="39">
        <f>M14*Assumptions!$F$91/2</f>
        <v>714853.08253148582</v>
      </c>
      <c r="N18" s="39">
        <f>N14*Assumptions!$F$91/2</f>
        <v>825000</v>
      </c>
      <c r="O18" s="39">
        <f>O14*Assumptions!$F$91/2</f>
        <v>707179.0380788286</v>
      </c>
      <c r="P18" s="39">
        <f>P14*Assumptions!$F$91/2</f>
        <v>825000</v>
      </c>
      <c r="Q18" s="39">
        <f>Q14*Assumptions!$F$91/2</f>
        <v>698986.11049698817</v>
      </c>
      <c r="R18" s="39">
        <f>R14*Assumptions!$F$91/2</f>
        <v>825000</v>
      </c>
      <c r="S18" s="39">
        <f>S14*Assumptions!$F$91/2</f>
        <v>690239.54741370992</v>
      </c>
      <c r="T18" s="39">
        <f>T14*Assumptions!$F$91/2</f>
        <v>825000</v>
      </c>
      <c r="U18" s="39">
        <f>U14*Assumptions!$F$91/2</f>
        <v>680902.27610831766</v>
      </c>
      <c r="V18" s="39">
        <f>V14*Assumptions!$F$91/2</f>
        <v>825000</v>
      </c>
    </row>
    <row r="19" spans="2:22" x14ac:dyDescent="0.15">
      <c r="B19" s="40" t="s">
        <v>416</v>
      </c>
      <c r="C19" s="18">
        <f t="shared" ref="C19:V19" si="5">C12-C15+C16</f>
        <v>0</v>
      </c>
      <c r="D19" s="18">
        <f t="shared" si="5"/>
        <v>0</v>
      </c>
      <c r="E19" s="18">
        <f t="shared" si="5"/>
        <v>0</v>
      </c>
      <c r="F19" s="18">
        <f t="shared" si="5"/>
        <v>0</v>
      </c>
      <c r="G19" s="18">
        <f t="shared" si="5"/>
        <v>1840140.2260717079</v>
      </c>
      <c r="H19" s="18">
        <f t="shared" si="5"/>
        <v>0</v>
      </c>
      <c r="I19" s="18">
        <f t="shared" si="5"/>
        <v>541481.40612724051</v>
      </c>
      <c r="J19" s="18">
        <f t="shared" si="5"/>
        <v>0</v>
      </c>
      <c r="K19" s="18">
        <f t="shared" si="5"/>
        <v>493122.19835813716</v>
      </c>
      <c r="L19" s="18">
        <f t="shared" si="5"/>
        <v>0</v>
      </c>
      <c r="M19" s="18">
        <f t="shared" si="5"/>
        <v>591890.69166614488</v>
      </c>
      <c r="N19" s="18">
        <f t="shared" si="5"/>
        <v>0</v>
      </c>
      <c r="O19" s="18">
        <f t="shared" si="5"/>
        <v>619250.91615656391</v>
      </c>
      <c r="P19" s="18">
        <f t="shared" si="5"/>
        <v>0</v>
      </c>
      <c r="Q19" s="18">
        <f t="shared" si="5"/>
        <v>648168.97420398891</v>
      </c>
      <c r="R19" s="18">
        <f t="shared" si="5"/>
        <v>0</v>
      </c>
      <c r="S19" s="18">
        <f t="shared" si="5"/>
        <v>678742.86538795009</v>
      </c>
      <c r="T19" s="18">
        <f t="shared" si="5"/>
        <v>0</v>
      </c>
      <c r="U19" s="18">
        <f t="shared" si="5"/>
        <v>711076.99376137555</v>
      </c>
      <c r="V19" s="18">
        <f t="shared" si="5"/>
        <v>0</v>
      </c>
    </row>
    <row r="21" spans="2:22" x14ac:dyDescent="0.15">
      <c r="B21" s="54" t="s">
        <v>388</v>
      </c>
      <c r="C21" s="54"/>
      <c r="D21" s="54"/>
      <c r="E21" s="54"/>
      <c r="F21" s="54"/>
      <c r="G21" s="54"/>
      <c r="H21" s="54"/>
      <c r="I21" s="54"/>
      <c r="J21" s="54"/>
      <c r="K21" s="54"/>
      <c r="L21" s="54"/>
      <c r="M21" s="54"/>
      <c r="N21" s="54"/>
      <c r="O21" s="54"/>
      <c r="P21" s="54"/>
      <c r="Q21" s="54"/>
      <c r="R21" s="54"/>
      <c r="S21" s="54"/>
      <c r="T21" s="54"/>
      <c r="U21" s="54"/>
      <c r="V21" s="54"/>
    </row>
    <row r="22" spans="2:22" x14ac:dyDescent="0.15">
      <c r="B22" s="2" t="s">
        <v>417</v>
      </c>
      <c r="D22" s="55">
        <f>MAX(C17:V17)</f>
        <v>15000000</v>
      </c>
    </row>
    <row r="23" spans="2:22" x14ac:dyDescent="0.15">
      <c r="B23" s="2" t="s">
        <v>418</v>
      </c>
      <c r="D23" s="39">
        <f>Assumptions!$F$90-D22</f>
        <v>0</v>
      </c>
    </row>
  </sheetData>
  <mergeCells count="5">
    <mergeCell ref="B2:V3"/>
    <mergeCell ref="B4:V4"/>
    <mergeCell ref="B6:V6"/>
    <mergeCell ref="B13:V13"/>
    <mergeCell ref="B21:V21"/>
  </mergeCells>
  <hyperlinks>
    <hyperlink ref="D5" location="Cover!A1" display="&lt;&lt;&lt;&lt;" xr:uid="{96F7365B-3AA6-604D-8AFC-33C2F66C7172}"/>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F6B69"/>
  </sheetPr>
  <dimension ref="B2:V29"/>
  <sheetViews>
    <sheetView showGridLines="0" zoomScaleNormal="100" workbookViewId="0">
      <pane xSplit="2" ySplit="6" topLeftCell="C7" activePane="bottomRight" state="frozen"/>
      <selection activeCell="H27" sqref="H27"/>
      <selection pane="topRight" activeCell="H27" sqref="H27"/>
      <selection pane="bottomLeft" activeCell="H27" sqref="H27"/>
      <selection pane="bottomRight" activeCell="C21" sqref="C21"/>
    </sheetView>
  </sheetViews>
  <sheetFormatPr baseColWidth="10" defaultColWidth="8.6640625" defaultRowHeight="14" x14ac:dyDescent="0.15"/>
  <cols>
    <col min="1" max="1" width="2" style="2" customWidth="1"/>
    <col min="2" max="2" width="42" style="2" customWidth="1"/>
    <col min="3" max="22" width="13" style="2" customWidth="1"/>
    <col min="23" max="16384" width="8.6640625" style="2"/>
  </cols>
  <sheetData>
    <row r="2" spans="2:22" x14ac:dyDescent="0.15">
      <c r="B2" s="53" t="s">
        <v>419</v>
      </c>
      <c r="C2" s="53"/>
      <c r="D2" s="53"/>
      <c r="E2" s="53"/>
      <c r="F2" s="53"/>
      <c r="G2" s="53"/>
      <c r="H2" s="53"/>
      <c r="I2" s="53"/>
      <c r="J2" s="53"/>
      <c r="K2" s="53"/>
      <c r="L2" s="53"/>
      <c r="M2" s="53"/>
      <c r="N2" s="53"/>
      <c r="O2" s="53"/>
      <c r="P2" s="53"/>
      <c r="Q2" s="53"/>
      <c r="R2" s="53"/>
      <c r="S2" s="53"/>
      <c r="T2" s="53"/>
      <c r="U2" s="53"/>
      <c r="V2" s="53"/>
    </row>
    <row r="3" spans="2:22" x14ac:dyDescent="0.15">
      <c r="B3" s="53"/>
      <c r="C3" s="53"/>
      <c r="D3" s="53"/>
      <c r="E3" s="53"/>
      <c r="F3" s="53"/>
      <c r="G3" s="53"/>
      <c r="H3" s="53"/>
      <c r="I3" s="53"/>
      <c r="J3" s="53"/>
      <c r="K3" s="53"/>
      <c r="L3" s="53"/>
      <c r="M3" s="53"/>
      <c r="N3" s="53"/>
      <c r="O3" s="53"/>
      <c r="P3" s="53"/>
      <c r="Q3" s="53"/>
      <c r="R3" s="53"/>
      <c r="S3" s="53"/>
      <c r="T3" s="53"/>
      <c r="U3" s="53"/>
      <c r="V3" s="53"/>
    </row>
    <row r="4" spans="2:22" x14ac:dyDescent="0.15">
      <c r="B4" s="28" t="s">
        <v>420</v>
      </c>
    </row>
    <row r="5" spans="2:22" ht="16" x14ac:dyDescent="0.2">
      <c r="B5" s="3" t="s">
        <v>33</v>
      </c>
      <c r="C5" s="4" t="str">
        <f>Cover!$C$9</f>
        <v>Base</v>
      </c>
      <c r="D5" s="84" t="s">
        <v>683</v>
      </c>
    </row>
    <row r="6" spans="2:22" x14ac:dyDescent="0.15">
      <c r="B6" s="54" t="s">
        <v>421</v>
      </c>
      <c r="C6" s="54"/>
      <c r="D6" s="54"/>
      <c r="E6" s="54"/>
      <c r="F6" s="54"/>
      <c r="G6" s="54"/>
      <c r="H6" s="54"/>
      <c r="I6" s="54"/>
      <c r="J6" s="54"/>
      <c r="K6" s="54"/>
      <c r="L6" s="54"/>
      <c r="M6" s="54"/>
      <c r="N6" s="54"/>
      <c r="O6" s="54"/>
      <c r="P6" s="54"/>
      <c r="Q6" s="54"/>
      <c r="R6" s="54"/>
      <c r="S6" s="54"/>
      <c r="T6" s="54"/>
      <c r="U6" s="54"/>
      <c r="V6" s="54"/>
    </row>
    <row r="7" spans="2:22" x14ac:dyDescent="0.15">
      <c r="B7" s="8" t="s">
        <v>422</v>
      </c>
      <c r="C7" s="39">
        <f>C9</f>
        <v>18687487.902976882</v>
      </c>
      <c r="D7" s="39">
        <f t="shared" ref="D7:V7" si="0">C10</f>
        <v>18687487.902976882</v>
      </c>
      <c r="E7" s="39">
        <f t="shared" si="0"/>
        <v>11083935.744098049</v>
      </c>
      <c r="F7" s="39">
        <f t="shared" si="0"/>
        <v>10139371.11391025</v>
      </c>
      <c r="G7" s="39">
        <f t="shared" si="0"/>
        <v>9572918.5042230859</v>
      </c>
      <c r="H7" s="39">
        <f t="shared" si="0"/>
        <v>8265523.6231016535</v>
      </c>
      <c r="I7" s="39">
        <f t="shared" si="0"/>
        <v>7828552.6956635881</v>
      </c>
      <c r="J7" s="39">
        <f t="shared" si="0"/>
        <v>7370422.5947908312</v>
      </c>
      <c r="K7" s="39">
        <f t="shared" si="0"/>
        <v>6890364.689058667</v>
      </c>
      <c r="L7" s="39">
        <f t="shared" si="0"/>
        <v>6160242.0143738501</v>
      </c>
      <c r="M7" s="39">
        <f t="shared" si="0"/>
        <v>5633917.6422990914</v>
      </c>
      <c r="N7" s="39">
        <f t="shared" si="0"/>
        <v>5083199.9430721598</v>
      </c>
      <c r="O7" s="39">
        <f t="shared" si="0"/>
        <v>4507210.8962341743</v>
      </c>
      <c r="P7" s="39">
        <f t="shared" si="0"/>
        <v>3905042.8325196239</v>
      </c>
      <c r="Q7" s="39">
        <f t="shared" si="0"/>
        <v>3811029.9589325469</v>
      </c>
      <c r="R7" s="39">
        <f t="shared" si="0"/>
        <v>3811029.9589325469</v>
      </c>
      <c r="S7" s="39">
        <f t="shared" si="0"/>
        <v>3811029.9589325469</v>
      </c>
      <c r="T7" s="39">
        <f t="shared" si="0"/>
        <v>3811029.9589325469</v>
      </c>
      <c r="U7" s="39">
        <f t="shared" si="0"/>
        <v>3811029.9589325469</v>
      </c>
      <c r="V7" s="39">
        <f t="shared" si="0"/>
        <v>3811029.9589325469</v>
      </c>
    </row>
    <row r="8" spans="2:22" x14ac:dyDescent="0.15">
      <c r="B8" s="8" t="s">
        <v>423</v>
      </c>
      <c r="C8" s="46">
        <f>Debt!C13</f>
        <v>18687487.902976882</v>
      </c>
      <c r="D8" s="46">
        <f>Debt!D13</f>
        <v>11083935.744098049</v>
      </c>
      <c r="E8" s="46">
        <f>Debt!E13</f>
        <v>10139371.11391025</v>
      </c>
      <c r="F8" s="46">
        <f>Debt!F13</f>
        <v>9572918.5042230859</v>
      </c>
      <c r="G8" s="46">
        <f>Debt!G13</f>
        <v>8265523.6231016535</v>
      </c>
      <c r="H8" s="46">
        <f>Debt!H13</f>
        <v>7828552.6956635881</v>
      </c>
      <c r="I8" s="46">
        <f>Debt!I13</f>
        <v>7370422.5947908312</v>
      </c>
      <c r="J8" s="46">
        <f>Debt!J13</f>
        <v>6890364.689058667</v>
      </c>
      <c r="K8" s="46">
        <f>Debt!K13</f>
        <v>6160242.0143738501</v>
      </c>
      <c r="L8" s="46">
        <f>Debt!L13</f>
        <v>5633917.6422990914</v>
      </c>
      <c r="M8" s="46">
        <f>Debt!M13</f>
        <v>5083199.9430721598</v>
      </c>
      <c r="N8" s="46">
        <f>Debt!N13</f>
        <v>4507210.8962341743</v>
      </c>
      <c r="O8" s="46">
        <f>Debt!O13</f>
        <v>3905042.8325196239</v>
      </c>
      <c r="P8" s="46">
        <f>Debt!P13</f>
        <v>3811029.9589325469</v>
      </c>
      <c r="Q8" s="46">
        <f>Debt!Q13</f>
        <v>3811029.9589325469</v>
      </c>
      <c r="R8" s="46">
        <f>Debt!R13</f>
        <v>3811029.9589325469</v>
      </c>
      <c r="S8" s="46">
        <f>Debt!S13</f>
        <v>3811029.9589325469</v>
      </c>
      <c r="T8" s="46">
        <f>Debt!T13</f>
        <v>3811029.9589325469</v>
      </c>
      <c r="U8" s="46">
        <f>Debt!U13</f>
        <v>3811029.9589325469</v>
      </c>
      <c r="V8" s="46">
        <f>Debt!V13</f>
        <v>84043239.620670378</v>
      </c>
    </row>
    <row r="9" spans="2:22" x14ac:dyDescent="0.15">
      <c r="B9" s="41" t="s">
        <v>424</v>
      </c>
      <c r="C9" s="55">
        <f t="shared" ref="C9:V9" si="1">C8</f>
        <v>18687487.902976882</v>
      </c>
      <c r="D9" s="55">
        <f t="shared" si="1"/>
        <v>11083935.744098049</v>
      </c>
      <c r="E9" s="55">
        <f t="shared" si="1"/>
        <v>10139371.11391025</v>
      </c>
      <c r="F9" s="55">
        <f t="shared" si="1"/>
        <v>9572918.5042230859</v>
      </c>
      <c r="G9" s="55">
        <f t="shared" si="1"/>
        <v>8265523.6231016535</v>
      </c>
      <c r="H9" s="55">
        <f t="shared" si="1"/>
        <v>7828552.6956635881</v>
      </c>
      <c r="I9" s="55">
        <f t="shared" si="1"/>
        <v>7370422.5947908312</v>
      </c>
      <c r="J9" s="55">
        <f t="shared" si="1"/>
        <v>6890364.689058667</v>
      </c>
      <c r="K9" s="55">
        <f t="shared" si="1"/>
        <v>6160242.0143738501</v>
      </c>
      <c r="L9" s="55">
        <f t="shared" si="1"/>
        <v>5633917.6422990914</v>
      </c>
      <c r="M9" s="55">
        <f t="shared" si="1"/>
        <v>5083199.9430721598</v>
      </c>
      <c r="N9" s="55">
        <f t="shared" si="1"/>
        <v>4507210.8962341743</v>
      </c>
      <c r="O9" s="55">
        <f t="shared" si="1"/>
        <v>3905042.8325196239</v>
      </c>
      <c r="P9" s="55">
        <f t="shared" si="1"/>
        <v>3811029.9589325469</v>
      </c>
      <c r="Q9" s="55">
        <f t="shared" si="1"/>
        <v>3811029.9589325469</v>
      </c>
      <c r="R9" s="55">
        <f t="shared" si="1"/>
        <v>3811029.9589325469</v>
      </c>
      <c r="S9" s="55">
        <f t="shared" si="1"/>
        <v>3811029.9589325469</v>
      </c>
      <c r="T9" s="55">
        <f t="shared" si="1"/>
        <v>3811029.9589325469</v>
      </c>
      <c r="U9" s="55">
        <f t="shared" si="1"/>
        <v>3811029.9589325469</v>
      </c>
      <c r="V9" s="55">
        <f t="shared" si="1"/>
        <v>84043239.620670378</v>
      </c>
    </row>
    <row r="10" spans="2:22" x14ac:dyDescent="0.15">
      <c r="B10" s="8" t="s">
        <v>425</v>
      </c>
      <c r="C10" s="39">
        <f>IF(Debt!C14&lt;1,0,C9)</f>
        <v>18687487.902976882</v>
      </c>
      <c r="D10" s="39">
        <f>IF(Debt!D14&lt;1,0,D9)</f>
        <v>11083935.744098049</v>
      </c>
      <c r="E10" s="39">
        <f>IF(Debt!E14&lt;1,0,E9)</f>
        <v>10139371.11391025</v>
      </c>
      <c r="F10" s="39">
        <f>IF(Debt!F14&lt;1,0,F9)</f>
        <v>9572918.5042230859</v>
      </c>
      <c r="G10" s="39">
        <f>IF(Debt!G14&lt;1,0,G9)</f>
        <v>8265523.6231016535</v>
      </c>
      <c r="H10" s="39">
        <f>IF(Debt!H14&lt;1,0,H9)</f>
        <v>7828552.6956635881</v>
      </c>
      <c r="I10" s="39">
        <f>IF(Debt!I14&lt;1,0,I9)</f>
        <v>7370422.5947908312</v>
      </c>
      <c r="J10" s="39">
        <f>IF(Debt!J14&lt;1,0,J9)</f>
        <v>6890364.689058667</v>
      </c>
      <c r="K10" s="39">
        <f>IF(Debt!K14&lt;1,0,K9)</f>
        <v>6160242.0143738501</v>
      </c>
      <c r="L10" s="39">
        <f>IF(Debt!L14&lt;1,0,L9)</f>
        <v>5633917.6422990914</v>
      </c>
      <c r="M10" s="39">
        <f>IF(Debt!M14&lt;1,0,M9)</f>
        <v>5083199.9430721598</v>
      </c>
      <c r="N10" s="39">
        <f>IF(Debt!N14&lt;1,0,N9)</f>
        <v>4507210.8962341743</v>
      </c>
      <c r="O10" s="39">
        <f>IF(Debt!O14&lt;1,0,O9)</f>
        <v>3905042.8325196239</v>
      </c>
      <c r="P10" s="39">
        <f>IF(Debt!P14&lt;1,0,P9)</f>
        <v>3811029.9589325469</v>
      </c>
      <c r="Q10" s="39">
        <f>IF(Debt!Q14&lt;1,0,Q9)</f>
        <v>3811029.9589325469</v>
      </c>
      <c r="R10" s="39">
        <f>IF(Debt!R14&lt;1,0,R9)</f>
        <v>3811029.9589325469</v>
      </c>
      <c r="S10" s="39">
        <f>IF(Debt!S14&lt;1,0,S9)</f>
        <v>3811029.9589325469</v>
      </c>
      <c r="T10" s="39">
        <f>IF(Debt!T14&lt;1,0,T9)</f>
        <v>3811029.9589325469</v>
      </c>
      <c r="U10" s="39">
        <f>IF(Debt!U14&lt;1,0,U9)</f>
        <v>3811029.9589325469</v>
      </c>
      <c r="V10" s="39">
        <f>IF(Debt!V14&lt;1,0,V9)</f>
        <v>0</v>
      </c>
    </row>
    <row r="11" spans="2:22" x14ac:dyDescent="0.15">
      <c r="B11" s="40" t="s">
        <v>426</v>
      </c>
      <c r="C11" s="18">
        <f t="shared" ref="C11:V11" si="2">C10-C7</f>
        <v>0</v>
      </c>
      <c r="D11" s="18">
        <f t="shared" si="2"/>
        <v>-7603552.1588788331</v>
      </c>
      <c r="E11" s="18">
        <f t="shared" si="2"/>
        <v>-944564.63018779829</v>
      </c>
      <c r="F11" s="18">
        <f t="shared" si="2"/>
        <v>-566452.60968716443</v>
      </c>
      <c r="G11" s="18">
        <f t="shared" si="2"/>
        <v>-1307394.8811214324</v>
      </c>
      <c r="H11" s="18">
        <f t="shared" si="2"/>
        <v>-436970.92743806541</v>
      </c>
      <c r="I11" s="18">
        <f t="shared" si="2"/>
        <v>-458130.10087275691</v>
      </c>
      <c r="J11" s="18">
        <f t="shared" si="2"/>
        <v>-480057.90573216416</v>
      </c>
      <c r="K11" s="18">
        <f t="shared" si="2"/>
        <v>-730122.67468481697</v>
      </c>
      <c r="L11" s="18">
        <f t="shared" si="2"/>
        <v>-526324.37207475863</v>
      </c>
      <c r="M11" s="18">
        <f t="shared" si="2"/>
        <v>-550717.69922693167</v>
      </c>
      <c r="N11" s="18">
        <f t="shared" si="2"/>
        <v>-575989.04683798552</v>
      </c>
      <c r="O11" s="18">
        <f t="shared" si="2"/>
        <v>-602168.06371455034</v>
      </c>
      <c r="P11" s="18">
        <f t="shared" si="2"/>
        <v>-94012.873587077018</v>
      </c>
      <c r="Q11" s="18">
        <f t="shared" si="2"/>
        <v>0</v>
      </c>
      <c r="R11" s="18">
        <f t="shared" si="2"/>
        <v>0</v>
      </c>
      <c r="S11" s="18">
        <f t="shared" si="2"/>
        <v>0</v>
      </c>
      <c r="T11" s="18">
        <f t="shared" si="2"/>
        <v>0</v>
      </c>
      <c r="U11" s="18">
        <f t="shared" si="2"/>
        <v>0</v>
      </c>
      <c r="V11" s="18">
        <f t="shared" si="2"/>
        <v>-3811029.9589325469</v>
      </c>
    </row>
    <row r="13" spans="2:22" x14ac:dyDescent="0.15">
      <c r="B13" s="54" t="s">
        <v>388</v>
      </c>
      <c r="C13" s="54"/>
      <c r="D13" s="54"/>
      <c r="E13" s="54"/>
      <c r="F13" s="54"/>
      <c r="G13" s="54"/>
      <c r="H13" s="54"/>
      <c r="I13" s="54"/>
      <c r="J13" s="54"/>
      <c r="K13" s="54"/>
      <c r="L13" s="54"/>
      <c r="M13" s="54"/>
      <c r="N13" s="54"/>
      <c r="O13" s="54"/>
      <c r="P13" s="54"/>
      <c r="Q13" s="54"/>
      <c r="R13" s="54"/>
      <c r="S13" s="54"/>
      <c r="T13" s="54"/>
      <c r="U13" s="54"/>
      <c r="V13" s="54"/>
    </row>
    <row r="14" spans="2:22" x14ac:dyDescent="0.15">
      <c r="B14" s="2" t="s">
        <v>427</v>
      </c>
      <c r="D14" s="55">
        <f>C9</f>
        <v>18687487.902976882</v>
      </c>
    </row>
    <row r="15" spans="2:22" x14ac:dyDescent="0.15">
      <c r="B15" s="2" t="s">
        <v>428</v>
      </c>
      <c r="D15" s="56">
        <f>V10</f>
        <v>0</v>
      </c>
    </row>
    <row r="18" spans="2:22" x14ac:dyDescent="0.15">
      <c r="B18" s="54" t="s">
        <v>429</v>
      </c>
      <c r="C18" s="54"/>
      <c r="D18" s="54"/>
      <c r="E18" s="54"/>
      <c r="F18" s="54"/>
      <c r="G18" s="54"/>
      <c r="H18" s="54"/>
      <c r="I18" s="54"/>
      <c r="J18" s="54"/>
      <c r="K18" s="54"/>
      <c r="L18" s="54"/>
      <c r="M18" s="54"/>
      <c r="N18" s="54"/>
      <c r="O18" s="54"/>
      <c r="P18" s="54"/>
      <c r="Q18" s="54"/>
      <c r="R18" s="54"/>
      <c r="S18" s="54"/>
      <c r="T18" s="54"/>
      <c r="U18" s="54"/>
      <c r="V18" s="54"/>
    </row>
    <row r="19" spans="2:22" x14ac:dyDescent="0.15">
      <c r="B19" s="8" t="s">
        <v>430</v>
      </c>
      <c r="C19" s="39">
        <f>Operations!C13*Assumptions!$F$71*(1+Assumptions!$F$49)^Operations!C10</f>
        <v>475077.58136111411</v>
      </c>
      <c r="D19" s="39">
        <f>Operations!D13*Assumptions!$F$71*(1+Assumptions!$F$49)^Operations!D10</f>
        <v>891939.29396956356</v>
      </c>
      <c r="E19" s="39">
        <f>Operations!E13*Assumptions!$F$71*(1+Assumptions!$F$49)^Operations!E10</f>
        <v>924817.6917163023</v>
      </c>
      <c r="F19" s="39">
        <f>Operations!F13*Assumptions!$F$71*(1+Assumptions!$F$49)^Operations!F10</f>
        <v>934935.3419865577</v>
      </c>
      <c r="G19" s="39">
        <f>Operations!G13*Assumptions!$F$71*(1+Assumptions!$F$49)^Operations!G10</f>
        <v>1122381.8711091971</v>
      </c>
      <c r="H19" s="39">
        <f>Operations!H13*Assumptions!$F$71*(1+Assumptions!$F$49)^Operations!H10</f>
        <v>1134660.9044184361</v>
      </c>
      <c r="I19" s="39">
        <f>Operations!I13*Assumptions!$F$71*(1+Assumptions!$F$49)^Operations!I10</f>
        <v>1147074.2722735996</v>
      </c>
      <c r="J19" s="39">
        <f>Operations!J13*Assumptions!$F$71*(1+Assumptions!$F$49)^Operations!J10</f>
        <v>1159623.4443156419</v>
      </c>
      <c r="K19" s="39">
        <f>Operations!K13*Assumptions!$F$71*(1+Assumptions!$F$49)^Operations!K10</f>
        <v>1172309.906263619</v>
      </c>
      <c r="L19" s="39">
        <f>Operations!L13*Assumptions!$F$71*(1+Assumptions!$F$49)^Operations!L10</f>
        <v>1185135.1600905859</v>
      </c>
      <c r="M19" s="39">
        <f>Operations!M13*Assumptions!$F$71*(1+Assumptions!$F$49)^Operations!M10</f>
        <v>1198100.7242014185</v>
      </c>
      <c r="N19" s="39">
        <f>Operations!N13*Assumptions!$F$71*(1+Assumptions!$F$49)^Operations!N10</f>
        <v>1211208.133612579</v>
      </c>
      <c r="O19" s="39">
        <f>Operations!O13*Assumptions!$F$71*(1+Assumptions!$F$49)^Operations!O10</f>
        <v>1224458.9401338499</v>
      </c>
      <c r="P19" s="39">
        <f>Operations!P13*Assumptions!$F$71*(1+Assumptions!$F$49)^Operations!P10</f>
        <v>1237854.7125520557</v>
      </c>
      <c r="Q19" s="39">
        <f>Operations!Q13*Assumptions!$F$71*(1+Assumptions!$F$49)^Operations!Q10</f>
        <v>1251397.0368167947</v>
      </c>
      <c r="R19" s="39">
        <f>Operations!R13*Assumptions!$F$71*(1+Assumptions!$F$49)^Operations!R10</f>
        <v>1265087.5162282009</v>
      </c>
      <c r="S19" s="39">
        <f>Operations!S13*Assumptions!$F$71*(1+Assumptions!$F$49)^Operations!S10</f>
        <v>1278927.771626764</v>
      </c>
      <c r="T19" s="39">
        <f>Operations!T13*Assumptions!$F$71*(1+Assumptions!$F$49)^Operations!T10</f>
        <v>1292919.4415852213</v>
      </c>
      <c r="U19" s="39">
        <f>Operations!U13*Assumptions!$F$71*(1+Assumptions!$F$49)^Operations!U10</f>
        <v>1307064.1826025527</v>
      </c>
      <c r="V19" s="39">
        <f>Operations!V13*Assumptions!$F$71*(1+Assumptions!$F$49)^Operations!V10</f>
        <v>1321363.6693000963</v>
      </c>
    </row>
    <row r="20" spans="2:22" x14ac:dyDescent="0.15">
      <c r="B20" s="8" t="s">
        <v>431</v>
      </c>
      <c r="C20" s="39">
        <v>0</v>
      </c>
      <c r="D20" s="39">
        <f t="shared" ref="D20:V20" si="3">C23</f>
        <v>475077.58136111411</v>
      </c>
      <c r="E20" s="39">
        <f t="shared" si="3"/>
        <v>1367016.8753306777</v>
      </c>
      <c r="F20" s="39">
        <f t="shared" si="3"/>
        <v>2291834.5670469799</v>
      </c>
      <c r="G20" s="39">
        <f t="shared" si="3"/>
        <v>3226769.9090335378</v>
      </c>
      <c r="H20" s="39">
        <f t="shared" si="3"/>
        <v>4349151.7801427348</v>
      </c>
      <c r="I20" s="39">
        <f t="shared" si="3"/>
        <v>5483812.6845611706</v>
      </c>
      <c r="J20" s="39">
        <f t="shared" si="3"/>
        <v>6630886.9568347707</v>
      </c>
      <c r="K20" s="39">
        <f t="shared" si="3"/>
        <v>7790510.4011504129</v>
      </c>
      <c r="L20" s="39">
        <f t="shared" si="3"/>
        <v>8962820.3074140325</v>
      </c>
      <c r="M20" s="39">
        <f t="shared" si="3"/>
        <v>2371955.4675046187</v>
      </c>
      <c r="N20" s="39">
        <f t="shared" si="3"/>
        <v>3570056.1917060371</v>
      </c>
      <c r="O20" s="39">
        <f t="shared" si="3"/>
        <v>4781264.3253186159</v>
      </c>
      <c r="P20" s="39">
        <f t="shared" si="3"/>
        <v>6005723.265452466</v>
      </c>
      <c r="Q20" s="39">
        <f t="shared" si="3"/>
        <v>7243577.9780045217</v>
      </c>
      <c r="R20" s="39">
        <f t="shared" si="3"/>
        <v>8494975.014821317</v>
      </c>
      <c r="S20" s="39">
        <f t="shared" si="3"/>
        <v>9760062.5310495179</v>
      </c>
      <c r="T20" s="39">
        <f t="shared" si="3"/>
        <v>11038990.302676283</v>
      </c>
      <c r="U20" s="39">
        <f t="shared" si="3"/>
        <v>12331909.744261503</v>
      </c>
      <c r="V20" s="39">
        <f t="shared" si="3"/>
        <v>13638973.926864056</v>
      </c>
    </row>
    <row r="21" spans="2:22" x14ac:dyDescent="0.15">
      <c r="B21" s="8" t="s">
        <v>432</v>
      </c>
      <c r="C21" s="8" t="str">
        <f>IF(AND(Operations!C9="H2",MOD(Operations!C8,Assumptions!$F$72)=0),"Yes","No")</f>
        <v>No</v>
      </c>
      <c r="D21" s="8" t="str">
        <f>IF(AND(Operations!D9="H2",MOD(Operations!D8,Assumptions!$F$72)=0),"Yes","No")</f>
        <v>No</v>
      </c>
      <c r="E21" s="8" t="str">
        <f>IF(AND(Operations!E9="H2",MOD(Operations!E8,Assumptions!$F$72)=0),"Yes","No")</f>
        <v>No</v>
      </c>
      <c r="F21" s="8" t="str">
        <f>IF(AND(Operations!F9="H2",MOD(Operations!F8,Assumptions!$F$72)=0),"Yes","No")</f>
        <v>No</v>
      </c>
      <c r="G21" s="8" t="str">
        <f>IF(AND(Operations!G9="H2",MOD(Operations!G8,Assumptions!$F$72)=0),"Yes","No")</f>
        <v>No</v>
      </c>
      <c r="H21" s="8" t="str">
        <f>IF(AND(Operations!H9="H2",MOD(Operations!H8,Assumptions!$F$72)=0),"Yes","No")</f>
        <v>No</v>
      </c>
      <c r="I21" s="8" t="str">
        <f>IF(AND(Operations!I9="H2",MOD(Operations!I8,Assumptions!$F$72)=0),"Yes","No")</f>
        <v>No</v>
      </c>
      <c r="J21" s="8" t="str">
        <f>IF(AND(Operations!J9="H2",MOD(Operations!J8,Assumptions!$F$72)=0),"Yes","No")</f>
        <v>No</v>
      </c>
      <c r="K21" s="8" t="str">
        <f>IF(AND(Operations!K9="H2",MOD(Operations!K8,Assumptions!$F$72)=0),"Yes","No")</f>
        <v>No</v>
      </c>
      <c r="L21" s="8" t="str">
        <f>IF(AND(Operations!L9="H2",MOD(Operations!L8,Assumptions!$F$72)=0),"Yes","No")</f>
        <v>Yes</v>
      </c>
      <c r="M21" s="8" t="str">
        <f>IF(AND(Operations!M9="H2",MOD(Operations!M8,Assumptions!$F$72)=0),"Yes","No")</f>
        <v>No</v>
      </c>
      <c r="N21" s="8" t="str">
        <f>IF(AND(Operations!N9="H2",MOD(Operations!N8,Assumptions!$F$72)=0),"Yes","No")</f>
        <v>No</v>
      </c>
      <c r="O21" s="8" t="str">
        <f>IF(AND(Operations!O9="H2",MOD(Operations!O8,Assumptions!$F$72)=0),"Yes","No")</f>
        <v>No</v>
      </c>
      <c r="P21" s="8" t="str">
        <f>IF(AND(Operations!P9="H2",MOD(Operations!P8,Assumptions!$F$72)=0),"Yes","No")</f>
        <v>No</v>
      </c>
      <c r="Q21" s="8" t="str">
        <f>IF(AND(Operations!Q9="H2",MOD(Operations!Q8,Assumptions!$F$72)=0),"Yes","No")</f>
        <v>No</v>
      </c>
      <c r="R21" s="8" t="str">
        <f>IF(AND(Operations!R9="H2",MOD(Operations!R8,Assumptions!$F$72)=0),"Yes","No")</f>
        <v>No</v>
      </c>
      <c r="S21" s="8" t="str">
        <f>IF(AND(Operations!S9="H2",MOD(Operations!S8,Assumptions!$F$72)=0),"Yes","No")</f>
        <v>No</v>
      </c>
      <c r="T21" s="8" t="str">
        <f>IF(AND(Operations!T9="H2",MOD(Operations!T8,Assumptions!$F$72)=0),"Yes","No")</f>
        <v>No</v>
      </c>
      <c r="U21" s="8" t="str">
        <f>IF(AND(Operations!U9="H2",MOD(Operations!U8,Assumptions!$F$72)=0),"Yes","No")</f>
        <v>No</v>
      </c>
      <c r="V21" s="8" t="str">
        <f>IF(AND(Operations!V9="H2",MOD(Operations!V8,Assumptions!$F$72)=0),"Yes","No")</f>
        <v>Yes</v>
      </c>
    </row>
    <row r="22" spans="2:22" x14ac:dyDescent="0.15">
      <c r="B22" s="8" t="s">
        <v>433</v>
      </c>
      <c r="C22" s="39">
        <f>IF(C21="Yes",Construction!$D$6*Assumptions!$F$73,0)</f>
        <v>0</v>
      </c>
      <c r="D22" s="39">
        <f>IF(D21="Yes",Construction!$D$6*Assumptions!$F$73,0)</f>
        <v>0</v>
      </c>
      <c r="E22" s="39">
        <f>IF(E21="Yes",Construction!$D$6*Assumptions!$F$73,0)</f>
        <v>0</v>
      </c>
      <c r="F22" s="39">
        <f>IF(F21="Yes",Construction!$D$6*Assumptions!$F$73,0)</f>
        <v>0</v>
      </c>
      <c r="G22" s="39">
        <f>IF(G21="Yes",Construction!$D$6*Assumptions!$F$73,0)</f>
        <v>0</v>
      </c>
      <c r="H22" s="39">
        <f>IF(H21="Yes",Construction!$D$6*Assumptions!$F$73,0)</f>
        <v>0</v>
      </c>
      <c r="I22" s="39">
        <f>IF(I21="Yes",Construction!$D$6*Assumptions!$F$73,0)</f>
        <v>0</v>
      </c>
      <c r="J22" s="39">
        <f>IF(J21="Yes",Construction!$D$6*Assumptions!$F$73,0)</f>
        <v>0</v>
      </c>
      <c r="K22" s="39">
        <f>IF(K21="Yes",Construction!$D$6*Assumptions!$F$73,0)</f>
        <v>0</v>
      </c>
      <c r="L22" s="39">
        <f>IF(L21="Yes",Construction!$D$6*Assumptions!$F$73,0)</f>
        <v>7776000</v>
      </c>
      <c r="M22" s="39">
        <f>IF(M21="Yes",Construction!$D$6*Assumptions!$F$73,0)</f>
        <v>0</v>
      </c>
      <c r="N22" s="39">
        <f>IF(N21="Yes",Construction!$D$6*Assumptions!$F$73,0)</f>
        <v>0</v>
      </c>
      <c r="O22" s="39">
        <f>IF(O21="Yes",Construction!$D$6*Assumptions!$F$73,0)</f>
        <v>0</v>
      </c>
      <c r="P22" s="39">
        <f>IF(P21="Yes",Construction!$D$6*Assumptions!$F$73,0)</f>
        <v>0</v>
      </c>
      <c r="Q22" s="39">
        <f>IF(Q21="Yes",Construction!$D$6*Assumptions!$F$73,0)</f>
        <v>0</v>
      </c>
      <c r="R22" s="39">
        <f>IF(R21="Yes",Construction!$D$6*Assumptions!$F$73,0)</f>
        <v>0</v>
      </c>
      <c r="S22" s="39">
        <f>IF(S21="Yes",Construction!$D$6*Assumptions!$F$73,0)</f>
        <v>0</v>
      </c>
      <c r="T22" s="39">
        <f>IF(T21="Yes",Construction!$D$6*Assumptions!$F$73,0)</f>
        <v>0</v>
      </c>
      <c r="U22" s="39">
        <f>IF(U21="Yes",Construction!$D$6*Assumptions!$F$73,0)</f>
        <v>0</v>
      </c>
      <c r="V22" s="39">
        <f>IF(V21="Yes",Construction!$D$6*Assumptions!$F$73,0)</f>
        <v>7776000</v>
      </c>
    </row>
    <row r="23" spans="2:22" x14ac:dyDescent="0.15">
      <c r="B23" s="41" t="s">
        <v>434</v>
      </c>
      <c r="C23" s="55">
        <f t="shared" ref="C23:V23" si="4">C20+C19-C22</f>
        <v>475077.58136111411</v>
      </c>
      <c r="D23" s="55">
        <f t="shared" si="4"/>
        <v>1367016.8753306777</v>
      </c>
      <c r="E23" s="55">
        <f t="shared" si="4"/>
        <v>2291834.5670469799</v>
      </c>
      <c r="F23" s="55">
        <f t="shared" si="4"/>
        <v>3226769.9090335378</v>
      </c>
      <c r="G23" s="55">
        <f t="shared" si="4"/>
        <v>4349151.7801427348</v>
      </c>
      <c r="H23" s="55">
        <f t="shared" si="4"/>
        <v>5483812.6845611706</v>
      </c>
      <c r="I23" s="55">
        <f t="shared" si="4"/>
        <v>6630886.9568347707</v>
      </c>
      <c r="J23" s="55">
        <f t="shared" si="4"/>
        <v>7790510.4011504129</v>
      </c>
      <c r="K23" s="55">
        <f t="shared" si="4"/>
        <v>8962820.3074140325</v>
      </c>
      <c r="L23" s="55">
        <f t="shared" si="4"/>
        <v>2371955.4675046187</v>
      </c>
      <c r="M23" s="55">
        <f t="shared" si="4"/>
        <v>3570056.1917060371</v>
      </c>
      <c r="N23" s="55">
        <f t="shared" si="4"/>
        <v>4781264.3253186159</v>
      </c>
      <c r="O23" s="55">
        <f t="shared" si="4"/>
        <v>6005723.265452466</v>
      </c>
      <c r="P23" s="55">
        <f t="shared" si="4"/>
        <v>7243577.9780045217</v>
      </c>
      <c r="Q23" s="55">
        <f t="shared" si="4"/>
        <v>8494975.014821317</v>
      </c>
      <c r="R23" s="55">
        <f t="shared" si="4"/>
        <v>9760062.5310495179</v>
      </c>
      <c r="S23" s="55">
        <f t="shared" si="4"/>
        <v>11038990.302676283</v>
      </c>
      <c r="T23" s="55">
        <f t="shared" si="4"/>
        <v>12331909.744261503</v>
      </c>
      <c r="U23" s="55">
        <f t="shared" si="4"/>
        <v>13638973.926864056</v>
      </c>
      <c r="V23" s="55">
        <f t="shared" si="4"/>
        <v>7184337.596164152</v>
      </c>
    </row>
    <row r="24" spans="2:22" x14ac:dyDescent="0.15">
      <c r="B24" s="40" t="s">
        <v>435</v>
      </c>
      <c r="C24" s="18">
        <f t="shared" ref="C24:V24" si="5">C23-C20</f>
        <v>475077.58136111411</v>
      </c>
      <c r="D24" s="18">
        <f t="shared" si="5"/>
        <v>891939.29396956367</v>
      </c>
      <c r="E24" s="18">
        <f t="shared" si="5"/>
        <v>924817.69171630219</v>
      </c>
      <c r="F24" s="18">
        <f t="shared" si="5"/>
        <v>934935.34198655793</v>
      </c>
      <c r="G24" s="18">
        <f t="shared" si="5"/>
        <v>1122381.8711091969</v>
      </c>
      <c r="H24" s="18">
        <f t="shared" si="5"/>
        <v>1134660.9044184359</v>
      </c>
      <c r="I24" s="18">
        <f t="shared" si="5"/>
        <v>1147074.2722736001</v>
      </c>
      <c r="J24" s="18">
        <f t="shared" si="5"/>
        <v>1159623.4443156421</v>
      </c>
      <c r="K24" s="18">
        <f t="shared" si="5"/>
        <v>1172309.9062636197</v>
      </c>
      <c r="L24" s="18">
        <f t="shared" si="5"/>
        <v>-6590864.8399094138</v>
      </c>
      <c r="M24" s="18">
        <f t="shared" si="5"/>
        <v>1198100.7242014185</v>
      </c>
      <c r="N24" s="18">
        <f t="shared" si="5"/>
        <v>1211208.1336125787</v>
      </c>
      <c r="O24" s="18">
        <f t="shared" si="5"/>
        <v>1224458.9401338501</v>
      </c>
      <c r="P24" s="18">
        <f t="shared" si="5"/>
        <v>1237854.7125520557</v>
      </c>
      <c r="Q24" s="18">
        <f t="shared" si="5"/>
        <v>1251397.0368167954</v>
      </c>
      <c r="R24" s="18">
        <f t="shared" si="5"/>
        <v>1265087.5162282009</v>
      </c>
      <c r="S24" s="18">
        <f t="shared" si="5"/>
        <v>1278927.7716267649</v>
      </c>
      <c r="T24" s="18">
        <f t="shared" si="5"/>
        <v>1292919.4415852204</v>
      </c>
      <c r="U24" s="18">
        <f t="shared" si="5"/>
        <v>1307064.1826025527</v>
      </c>
      <c r="V24" s="18">
        <f t="shared" si="5"/>
        <v>-6454636.3306999039</v>
      </c>
    </row>
    <row r="26" spans="2:22" x14ac:dyDescent="0.15">
      <c r="B26" s="54" t="s">
        <v>436</v>
      </c>
      <c r="C26" s="54"/>
      <c r="D26" s="54"/>
      <c r="E26" s="54"/>
      <c r="F26" s="54"/>
      <c r="G26" s="54"/>
      <c r="H26" s="54"/>
      <c r="I26" s="54"/>
      <c r="J26" s="54"/>
      <c r="K26" s="54"/>
      <c r="L26" s="54"/>
      <c r="M26" s="54"/>
      <c r="N26" s="54"/>
      <c r="O26" s="54"/>
      <c r="P26" s="54"/>
      <c r="Q26" s="54"/>
      <c r="R26" s="54"/>
      <c r="S26" s="54"/>
      <c r="T26" s="54"/>
      <c r="U26" s="54"/>
      <c r="V26" s="54"/>
    </row>
    <row r="27" spans="2:22" x14ac:dyDescent="0.15">
      <c r="B27" s="8" t="s">
        <v>437</v>
      </c>
      <c r="C27" s="39">
        <f t="shared" ref="C27:V27" si="6">C10+C23</f>
        <v>19162565.484337997</v>
      </c>
      <c r="D27" s="39">
        <f t="shared" si="6"/>
        <v>12450952.619428726</v>
      </c>
      <c r="E27" s="39">
        <f t="shared" si="6"/>
        <v>12431205.68095723</v>
      </c>
      <c r="F27" s="39">
        <f t="shared" si="6"/>
        <v>12799688.413256623</v>
      </c>
      <c r="G27" s="39">
        <f t="shared" si="6"/>
        <v>12614675.403244387</v>
      </c>
      <c r="H27" s="39">
        <f t="shared" si="6"/>
        <v>13312365.380224759</v>
      </c>
      <c r="I27" s="39">
        <f t="shared" si="6"/>
        <v>14001309.551625602</v>
      </c>
      <c r="J27" s="39">
        <f t="shared" si="6"/>
        <v>14680875.09020908</v>
      </c>
      <c r="K27" s="39">
        <f t="shared" si="6"/>
        <v>15123062.321787883</v>
      </c>
      <c r="L27" s="39">
        <f t="shared" si="6"/>
        <v>8005873.1098037101</v>
      </c>
      <c r="M27" s="39">
        <f t="shared" si="6"/>
        <v>8653256.1347781979</v>
      </c>
      <c r="N27" s="39">
        <f t="shared" si="6"/>
        <v>9288475.2215527892</v>
      </c>
      <c r="O27" s="39">
        <f t="shared" si="6"/>
        <v>9910766.0979720894</v>
      </c>
      <c r="P27" s="39">
        <f t="shared" si="6"/>
        <v>11054607.936937068</v>
      </c>
      <c r="Q27" s="39">
        <f t="shared" si="6"/>
        <v>12306004.973753864</v>
      </c>
      <c r="R27" s="39">
        <f t="shared" si="6"/>
        <v>13571092.489982065</v>
      </c>
      <c r="S27" s="39">
        <f t="shared" si="6"/>
        <v>14850020.26160883</v>
      </c>
      <c r="T27" s="39">
        <f t="shared" si="6"/>
        <v>16142939.70319405</v>
      </c>
      <c r="U27" s="39">
        <f t="shared" si="6"/>
        <v>17450003.885796603</v>
      </c>
      <c r="V27" s="39">
        <f t="shared" si="6"/>
        <v>7184337.596164152</v>
      </c>
    </row>
    <row r="28" spans="2:22" x14ac:dyDescent="0.15">
      <c r="B28" s="8" t="s">
        <v>438</v>
      </c>
      <c r="C28" s="39">
        <f>Assumptions!$F$83</f>
        <v>2000000</v>
      </c>
      <c r="D28" s="39">
        <f>Assumptions!$F$83</f>
        <v>2000000</v>
      </c>
      <c r="E28" s="39">
        <f>Assumptions!$F$83</f>
        <v>2000000</v>
      </c>
      <c r="F28" s="39">
        <f>Assumptions!$F$83</f>
        <v>2000000</v>
      </c>
      <c r="G28" s="39">
        <f>Assumptions!$F$83</f>
        <v>2000000</v>
      </c>
      <c r="H28" s="39">
        <f>Assumptions!$F$83</f>
        <v>2000000</v>
      </c>
      <c r="I28" s="39">
        <f>Assumptions!$F$83</f>
        <v>2000000</v>
      </c>
      <c r="J28" s="39">
        <f>Assumptions!$F$83</f>
        <v>2000000</v>
      </c>
      <c r="K28" s="39">
        <f>Assumptions!$F$83</f>
        <v>2000000</v>
      </c>
      <c r="L28" s="39">
        <f>Assumptions!$F$83</f>
        <v>2000000</v>
      </c>
      <c r="M28" s="39">
        <f>Assumptions!$F$83</f>
        <v>2000000</v>
      </c>
      <c r="N28" s="39">
        <f>Assumptions!$F$83</f>
        <v>2000000</v>
      </c>
      <c r="O28" s="39">
        <f>Assumptions!$F$83</f>
        <v>2000000</v>
      </c>
      <c r="P28" s="39">
        <f>Assumptions!$F$83</f>
        <v>2000000</v>
      </c>
      <c r="Q28" s="39">
        <f>Assumptions!$F$83</f>
        <v>2000000</v>
      </c>
      <c r="R28" s="39">
        <f>Assumptions!$F$83</f>
        <v>2000000</v>
      </c>
      <c r="S28" s="39">
        <f>Assumptions!$F$83</f>
        <v>2000000</v>
      </c>
      <c r="T28" s="39">
        <f>Assumptions!$F$83</f>
        <v>2000000</v>
      </c>
      <c r="U28" s="39">
        <f>Assumptions!$F$83</f>
        <v>2000000</v>
      </c>
      <c r="V28" s="39">
        <f>Assumptions!$F$83</f>
        <v>2000000</v>
      </c>
    </row>
    <row r="29" spans="2:22" x14ac:dyDescent="0.15">
      <c r="B29" s="57" t="s">
        <v>439</v>
      </c>
      <c r="C29" s="33" t="str">
        <f t="shared" ref="C29:V29" si="7">IF(C27&gt;=C28,"OK","REVIEW")</f>
        <v>OK</v>
      </c>
      <c r="D29" s="33" t="str">
        <f t="shared" si="7"/>
        <v>OK</v>
      </c>
      <c r="E29" s="33" t="str">
        <f t="shared" si="7"/>
        <v>OK</v>
      </c>
      <c r="F29" s="33" t="str">
        <f t="shared" si="7"/>
        <v>OK</v>
      </c>
      <c r="G29" s="33" t="str">
        <f t="shared" si="7"/>
        <v>OK</v>
      </c>
      <c r="H29" s="33" t="str">
        <f t="shared" si="7"/>
        <v>OK</v>
      </c>
      <c r="I29" s="33" t="str">
        <f t="shared" si="7"/>
        <v>OK</v>
      </c>
      <c r="J29" s="33" t="str">
        <f t="shared" si="7"/>
        <v>OK</v>
      </c>
      <c r="K29" s="33" t="str">
        <f t="shared" si="7"/>
        <v>OK</v>
      </c>
      <c r="L29" s="33" t="str">
        <f t="shared" si="7"/>
        <v>OK</v>
      </c>
      <c r="M29" s="33" t="str">
        <f t="shared" si="7"/>
        <v>OK</v>
      </c>
      <c r="N29" s="33" t="str">
        <f t="shared" si="7"/>
        <v>OK</v>
      </c>
      <c r="O29" s="33" t="str">
        <f t="shared" si="7"/>
        <v>OK</v>
      </c>
      <c r="P29" s="33" t="str">
        <f t="shared" si="7"/>
        <v>OK</v>
      </c>
      <c r="Q29" s="33" t="str">
        <f t="shared" si="7"/>
        <v>OK</v>
      </c>
      <c r="R29" s="33" t="str">
        <f t="shared" si="7"/>
        <v>OK</v>
      </c>
      <c r="S29" s="33" t="str">
        <f t="shared" si="7"/>
        <v>OK</v>
      </c>
      <c r="T29" s="33" t="str">
        <f t="shared" si="7"/>
        <v>OK</v>
      </c>
      <c r="U29" s="33" t="str">
        <f t="shared" si="7"/>
        <v>OK</v>
      </c>
      <c r="V29" s="33" t="str">
        <f t="shared" si="7"/>
        <v>OK</v>
      </c>
    </row>
  </sheetData>
  <mergeCells count="5">
    <mergeCell ref="B2:V3"/>
    <mergeCell ref="B6:V6"/>
    <mergeCell ref="B13:V13"/>
    <mergeCell ref="B18:V18"/>
    <mergeCell ref="B26:V26"/>
  </mergeCells>
  <hyperlinks>
    <hyperlink ref="D5" location="Cover!A1" display="&lt;&lt;&lt;&lt;" xr:uid="{803AD6EB-28F2-4940-BB01-BB6EB94BA5B3}"/>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F6B69"/>
  </sheetPr>
  <dimension ref="B2:J75"/>
  <sheetViews>
    <sheetView showGridLines="0" zoomScaleNormal="100" workbookViewId="0">
      <pane xSplit="1" ySplit="6" topLeftCell="B7" activePane="bottomRight" state="frozen"/>
      <selection activeCell="H27" sqref="H27"/>
      <selection pane="topRight" activeCell="H27" sqref="H27"/>
      <selection pane="bottomLeft" activeCell="H27" sqref="H27"/>
      <selection pane="bottomRight" activeCell="E4" sqref="E4"/>
    </sheetView>
  </sheetViews>
  <sheetFormatPr baseColWidth="10" defaultColWidth="8.6640625" defaultRowHeight="14" x14ac:dyDescent="0.15"/>
  <cols>
    <col min="1" max="1" width="3" style="2" customWidth="1"/>
    <col min="2" max="2" width="44" style="2" customWidth="1"/>
    <col min="3" max="3" width="26.83203125" style="2" bestFit="1" customWidth="1"/>
    <col min="4" max="4" width="20" style="2" customWidth="1"/>
    <col min="5" max="10" width="16" style="2" customWidth="1"/>
    <col min="11" max="16384" width="8.6640625" style="2"/>
  </cols>
  <sheetData>
    <row r="2" spans="2:10" x14ac:dyDescent="0.15">
      <c r="B2" s="1" t="s">
        <v>440</v>
      </c>
      <c r="C2" s="1"/>
      <c r="D2" s="1"/>
      <c r="E2" s="1"/>
      <c r="F2" s="1"/>
      <c r="G2" s="1"/>
      <c r="H2" s="1"/>
      <c r="I2" s="1"/>
      <c r="J2" s="1"/>
    </row>
    <row r="3" spans="2:10" x14ac:dyDescent="0.15">
      <c r="B3" s="1"/>
      <c r="C3" s="1"/>
      <c r="D3" s="1"/>
      <c r="E3" s="1"/>
      <c r="F3" s="1"/>
      <c r="G3" s="1"/>
      <c r="H3" s="1"/>
      <c r="I3" s="1"/>
      <c r="J3" s="1"/>
    </row>
    <row r="4" spans="2:10" ht="16" x14ac:dyDescent="0.2">
      <c r="B4" s="41" t="s">
        <v>33</v>
      </c>
      <c r="D4" s="4" t="str">
        <f>Assumptions!$D$4</f>
        <v>Base</v>
      </c>
      <c r="E4" s="84" t="s">
        <v>683</v>
      </c>
    </row>
    <row r="6" spans="2:10" x14ac:dyDescent="0.15">
      <c r="B6" s="7" t="s">
        <v>441</v>
      </c>
      <c r="C6" s="7"/>
      <c r="D6" s="7"/>
    </row>
    <row r="7" spans="2:10" x14ac:dyDescent="0.15">
      <c r="B7" s="2" t="s">
        <v>11</v>
      </c>
      <c r="D7" s="46">
        <f>Construction!$D$46</f>
        <v>126530823.25658485</v>
      </c>
    </row>
    <row r="8" spans="2:10" x14ac:dyDescent="0.15">
      <c r="B8" s="2" t="s">
        <v>442</v>
      </c>
      <c r="D8" s="39">
        <f>Construction!$G$29+Reserves!$C$9</f>
        <v>67287487.902976885</v>
      </c>
    </row>
    <row r="9" spans="2:10" x14ac:dyDescent="0.15">
      <c r="B9" s="2" t="s">
        <v>443</v>
      </c>
      <c r="D9" s="47">
        <f>Construction!$D$63</f>
        <v>0.76560594851351271</v>
      </c>
    </row>
    <row r="10" spans="2:10" x14ac:dyDescent="0.15">
      <c r="B10" s="2" t="s">
        <v>444</v>
      </c>
      <c r="D10" s="46">
        <f>Construction!$D$54</f>
        <v>255190633.73704159</v>
      </c>
    </row>
    <row r="12" spans="2:10" x14ac:dyDescent="0.15">
      <c r="B12" s="7" t="s">
        <v>445</v>
      </c>
      <c r="C12" s="7"/>
      <c r="D12" s="7"/>
    </row>
    <row r="13" spans="2:10" x14ac:dyDescent="0.15">
      <c r="B13" s="2" t="s">
        <v>446</v>
      </c>
      <c r="D13" s="48">
        <f>IFERROR(XIRR(D28:D66,B28:B66),0)</f>
        <v>0</v>
      </c>
    </row>
    <row r="14" spans="2:10" x14ac:dyDescent="0.15">
      <c r="B14" s="2" t="s">
        <v>447</v>
      </c>
      <c r="D14" s="49">
        <f>XNPV(Assumptions!$F$54,D28:D66,B28:B66)</f>
        <v>-59862783.84861739</v>
      </c>
    </row>
    <row r="15" spans="2:10" x14ac:dyDescent="0.15">
      <c r="B15" s="2" t="s">
        <v>448</v>
      </c>
      <c r="D15" s="50">
        <f>D17/D16</f>
        <v>0</v>
      </c>
    </row>
    <row r="16" spans="2:10" x14ac:dyDescent="0.15">
      <c r="B16" s="2" t="s">
        <v>449</v>
      </c>
      <c r="D16" s="39">
        <f>-SUM(D28:D46)</f>
        <v>67287487.902976885</v>
      </c>
    </row>
    <row r="17" spans="2:6" x14ac:dyDescent="0.15">
      <c r="B17" s="2" t="s">
        <v>450</v>
      </c>
      <c r="D17" s="39">
        <f>SUM(D47:D66)</f>
        <v>0</v>
      </c>
    </row>
    <row r="19" spans="2:6" x14ac:dyDescent="0.15">
      <c r="B19" s="7" t="s">
        <v>451</v>
      </c>
      <c r="C19" s="7"/>
      <c r="D19" s="7"/>
    </row>
    <row r="20" spans="2:6" x14ac:dyDescent="0.15">
      <c r="B20" s="2" t="s">
        <v>452</v>
      </c>
      <c r="D20" s="51">
        <f>Debt!$D$19</f>
        <v>-0.10661363527760818</v>
      </c>
    </row>
    <row r="21" spans="2:6" x14ac:dyDescent="0.15">
      <c r="B21" s="2" t="s">
        <v>453</v>
      </c>
      <c r="D21" s="51">
        <f>Debt!$D$20</f>
        <v>-0.10661363527760818</v>
      </c>
    </row>
    <row r="22" spans="2:6" x14ac:dyDescent="0.15">
      <c r="B22" s="2" t="s">
        <v>18</v>
      </c>
      <c r="D22" s="51">
        <f>Debt!$D$21</f>
        <v>1.0009806429432704</v>
      </c>
    </row>
    <row r="23" spans="2:6" x14ac:dyDescent="0.15">
      <c r="B23" s="2" t="s">
        <v>454</v>
      </c>
      <c r="D23" s="51">
        <f>Debt!$D$29</f>
        <v>0.8913731121608981</v>
      </c>
    </row>
    <row r="24" spans="2:6" x14ac:dyDescent="0.15">
      <c r="B24" s="2" t="s">
        <v>455</v>
      </c>
      <c r="D24" s="51">
        <f>Debt!$D$30</f>
        <v>0.8913731121608981</v>
      </c>
    </row>
    <row r="26" spans="2:6" x14ac:dyDescent="0.15">
      <c r="B26" s="7" t="s">
        <v>456</v>
      </c>
      <c r="C26" s="7"/>
      <c r="D26" s="7"/>
      <c r="E26" s="7"/>
      <c r="F26" s="7"/>
    </row>
    <row r="27" spans="2:6" x14ac:dyDescent="0.15">
      <c r="B27" s="31" t="s">
        <v>255</v>
      </c>
      <c r="C27" s="31" t="s">
        <v>457</v>
      </c>
      <c r="D27" s="31" t="s">
        <v>458</v>
      </c>
    </row>
    <row r="28" spans="2:6" x14ac:dyDescent="0.15">
      <c r="B28" s="86">
        <f>Timing!C8</f>
        <v>46388</v>
      </c>
      <c r="C28" s="85" t="s">
        <v>459</v>
      </c>
      <c r="D28" s="46">
        <f>-Construction!G10</f>
        <v>-486000</v>
      </c>
    </row>
    <row r="29" spans="2:6" x14ac:dyDescent="0.15">
      <c r="B29" s="86">
        <f>Timing!C9</f>
        <v>46419</v>
      </c>
      <c r="C29" s="85" t="s">
        <v>460</v>
      </c>
      <c r="D29" s="46">
        <f>-Construction!G11</f>
        <v>-972000</v>
      </c>
    </row>
    <row r="30" spans="2:6" x14ac:dyDescent="0.15">
      <c r="B30" s="86">
        <f>Timing!C10</f>
        <v>46447</v>
      </c>
      <c r="C30" s="85" t="s">
        <v>461</v>
      </c>
      <c r="D30" s="46">
        <f>-Construction!G12</f>
        <v>-1458000</v>
      </c>
    </row>
    <row r="31" spans="2:6" x14ac:dyDescent="0.15">
      <c r="B31" s="86">
        <f>Timing!C11</f>
        <v>46478</v>
      </c>
      <c r="C31" s="85" t="s">
        <v>462</v>
      </c>
      <c r="D31" s="46">
        <f>-Construction!G13</f>
        <v>-1944000</v>
      </c>
    </row>
    <row r="32" spans="2:6" x14ac:dyDescent="0.15">
      <c r="B32" s="86">
        <f>Timing!C12</f>
        <v>46508</v>
      </c>
      <c r="C32" s="85" t="s">
        <v>463</v>
      </c>
      <c r="D32" s="46">
        <f>-Construction!G14</f>
        <v>-2916000</v>
      </c>
    </row>
    <row r="33" spans="2:4" x14ac:dyDescent="0.15">
      <c r="B33" s="86">
        <f>Timing!C13</f>
        <v>46539</v>
      </c>
      <c r="C33" s="85" t="s">
        <v>464</v>
      </c>
      <c r="D33" s="46">
        <f>-Construction!G15</f>
        <v>-3402000.0000000009</v>
      </c>
    </row>
    <row r="34" spans="2:4" x14ac:dyDescent="0.15">
      <c r="B34" s="86">
        <f>Timing!C14</f>
        <v>46569</v>
      </c>
      <c r="C34" s="85" t="s">
        <v>465</v>
      </c>
      <c r="D34" s="46">
        <f>-Construction!G16</f>
        <v>-3888000</v>
      </c>
    </row>
    <row r="35" spans="2:4" x14ac:dyDescent="0.15">
      <c r="B35" s="86">
        <f>Timing!C15</f>
        <v>46600</v>
      </c>
      <c r="C35" s="85" t="s">
        <v>466</v>
      </c>
      <c r="D35" s="46">
        <f>-Construction!G17</f>
        <v>-4374000</v>
      </c>
    </row>
    <row r="36" spans="2:4" x14ac:dyDescent="0.15">
      <c r="B36" s="86">
        <f>Timing!C16</f>
        <v>46631</v>
      </c>
      <c r="C36" s="85" t="s">
        <v>467</v>
      </c>
      <c r="D36" s="46">
        <f>-Construction!G18</f>
        <v>-4860000</v>
      </c>
    </row>
    <row r="37" spans="2:4" x14ac:dyDescent="0.15">
      <c r="B37" s="86">
        <f>Timing!C17</f>
        <v>46661</v>
      </c>
      <c r="C37" s="85" t="s">
        <v>468</v>
      </c>
      <c r="D37" s="46">
        <f>-Construction!G19</f>
        <v>-4860000</v>
      </c>
    </row>
    <row r="38" spans="2:4" x14ac:dyDescent="0.15">
      <c r="B38" s="86">
        <f>Timing!C18</f>
        <v>46692</v>
      </c>
      <c r="C38" s="85" t="s">
        <v>469</v>
      </c>
      <c r="D38" s="46">
        <f>-Construction!G20</f>
        <v>-4374000</v>
      </c>
    </row>
    <row r="39" spans="2:4" x14ac:dyDescent="0.15">
      <c r="B39" s="86">
        <f>Timing!C19</f>
        <v>46722</v>
      </c>
      <c r="C39" s="85" t="s">
        <v>470</v>
      </c>
      <c r="D39" s="46">
        <f>-Construction!G21</f>
        <v>-3888000</v>
      </c>
    </row>
    <row r="40" spans="2:4" x14ac:dyDescent="0.15">
      <c r="B40" s="86">
        <f>Timing!C20</f>
        <v>46753</v>
      </c>
      <c r="C40" s="85" t="s">
        <v>471</v>
      </c>
      <c r="D40" s="46">
        <f>-Construction!G22</f>
        <v>-3402000.0000000009</v>
      </c>
    </row>
    <row r="41" spans="2:4" x14ac:dyDescent="0.15">
      <c r="B41" s="86">
        <f>Timing!C21</f>
        <v>46784</v>
      </c>
      <c r="C41" s="85" t="s">
        <v>472</v>
      </c>
      <c r="D41" s="46">
        <f>-Construction!G23</f>
        <v>-2916000</v>
      </c>
    </row>
    <row r="42" spans="2:4" x14ac:dyDescent="0.15">
      <c r="B42" s="86">
        <f>Timing!C22</f>
        <v>46813</v>
      </c>
      <c r="C42" s="85" t="s">
        <v>473</v>
      </c>
      <c r="D42" s="46">
        <f>-Construction!G24</f>
        <v>-1944000</v>
      </c>
    </row>
    <row r="43" spans="2:4" x14ac:dyDescent="0.15">
      <c r="B43" s="86">
        <f>Timing!C23</f>
        <v>46844</v>
      </c>
      <c r="C43" s="85" t="s">
        <v>474</v>
      </c>
      <c r="D43" s="46">
        <f>-Construction!G25</f>
        <v>-1458000</v>
      </c>
    </row>
    <row r="44" spans="2:4" x14ac:dyDescent="0.15">
      <c r="B44" s="86">
        <f>Timing!C24</f>
        <v>46874</v>
      </c>
      <c r="C44" s="85" t="s">
        <v>475</v>
      </c>
      <c r="D44" s="46">
        <f>-Construction!G26</f>
        <v>-972000</v>
      </c>
    </row>
    <row r="45" spans="2:4" x14ac:dyDescent="0.15">
      <c r="B45" s="86">
        <f>Timing!C25</f>
        <v>46905</v>
      </c>
      <c r="C45" s="85" t="s">
        <v>476</v>
      </c>
      <c r="D45" s="46">
        <f>-Construction!G27</f>
        <v>-486000</v>
      </c>
    </row>
    <row r="46" spans="2:4" x14ac:dyDescent="0.15">
      <c r="B46" s="86">
        <f>B45</f>
        <v>46905</v>
      </c>
      <c r="C46" s="85" t="s">
        <v>477</v>
      </c>
      <c r="D46" s="46">
        <f>-Reserves!$C$9</f>
        <v>-18687487.902976882</v>
      </c>
    </row>
    <row r="47" spans="2:4" x14ac:dyDescent="0.15">
      <c r="B47" s="86">
        <f>Timing!F30</f>
        <v>47118</v>
      </c>
      <c r="C47" s="85" t="s">
        <v>478</v>
      </c>
      <c r="D47" s="46">
        <f>Waterfall!C12*(1-Assumptions!$F$80)</f>
        <v>0</v>
      </c>
    </row>
    <row r="48" spans="2:4" x14ac:dyDescent="0.15">
      <c r="B48" s="86">
        <f>Timing!F31</f>
        <v>47299</v>
      </c>
      <c r="C48" s="85" t="s">
        <v>479</v>
      </c>
      <c r="D48" s="46">
        <f>Waterfall!D12*(1-Assumptions!$F$80)</f>
        <v>0</v>
      </c>
    </row>
    <row r="49" spans="2:4" x14ac:dyDescent="0.15">
      <c r="B49" s="86">
        <f>Timing!F32</f>
        <v>47483</v>
      </c>
      <c r="C49" s="85" t="s">
        <v>480</v>
      </c>
      <c r="D49" s="46">
        <f>Waterfall!E12*(1-Assumptions!$F$80)</f>
        <v>0</v>
      </c>
    </row>
    <row r="50" spans="2:4" x14ac:dyDescent="0.15">
      <c r="B50" s="86">
        <f>Timing!F33</f>
        <v>47664</v>
      </c>
      <c r="C50" s="85" t="s">
        <v>481</v>
      </c>
      <c r="D50" s="46">
        <f>Waterfall!F12*(1-Assumptions!$F$80)</f>
        <v>0</v>
      </c>
    </row>
    <row r="51" spans="2:4" x14ac:dyDescent="0.15">
      <c r="B51" s="86">
        <f>Timing!F34</f>
        <v>47848</v>
      </c>
      <c r="C51" s="85" t="s">
        <v>482</v>
      </c>
      <c r="D51" s="46">
        <f>Waterfall!G12*(1-Assumptions!$F$80)</f>
        <v>0</v>
      </c>
    </row>
    <row r="52" spans="2:4" x14ac:dyDescent="0.15">
      <c r="B52" s="86">
        <f>Timing!F35</f>
        <v>48029</v>
      </c>
      <c r="C52" s="85" t="s">
        <v>483</v>
      </c>
      <c r="D52" s="46">
        <f>Waterfall!H12*(1-Assumptions!$F$80)</f>
        <v>0</v>
      </c>
    </row>
    <row r="53" spans="2:4" x14ac:dyDescent="0.15">
      <c r="B53" s="86">
        <f>Timing!F36</f>
        <v>48213</v>
      </c>
      <c r="C53" s="85" t="s">
        <v>484</v>
      </c>
      <c r="D53" s="46">
        <f>Waterfall!I12*(1-Assumptions!$F$80)</f>
        <v>0</v>
      </c>
    </row>
    <row r="54" spans="2:4" x14ac:dyDescent="0.15">
      <c r="B54" s="86">
        <f>Timing!F37</f>
        <v>48395</v>
      </c>
      <c r="C54" s="85" t="s">
        <v>485</v>
      </c>
      <c r="D54" s="46">
        <f>Waterfall!J12*(1-Assumptions!$F$80)</f>
        <v>0</v>
      </c>
    </row>
    <row r="55" spans="2:4" x14ac:dyDescent="0.15">
      <c r="B55" s="86">
        <f>Timing!F38</f>
        <v>48579</v>
      </c>
      <c r="C55" s="85" t="s">
        <v>486</v>
      </c>
      <c r="D55" s="46">
        <f>Waterfall!K12*(1-Assumptions!$F$80)</f>
        <v>0</v>
      </c>
    </row>
    <row r="56" spans="2:4" x14ac:dyDescent="0.15">
      <c r="B56" s="86">
        <f>Timing!F39</f>
        <v>48760</v>
      </c>
      <c r="C56" s="85" t="s">
        <v>487</v>
      </c>
      <c r="D56" s="46">
        <f>Waterfall!L12*(1-Assumptions!$F$80)</f>
        <v>0</v>
      </c>
    </row>
    <row r="57" spans="2:4" x14ac:dyDescent="0.15">
      <c r="B57" s="86">
        <f>Timing!F40</f>
        <v>48944</v>
      </c>
      <c r="C57" s="85" t="s">
        <v>488</v>
      </c>
      <c r="D57" s="46">
        <f>Waterfall!M12*(1-Assumptions!$F$80)</f>
        <v>0</v>
      </c>
    </row>
    <row r="58" spans="2:4" x14ac:dyDescent="0.15">
      <c r="B58" s="86">
        <f>Timing!F41</f>
        <v>49125</v>
      </c>
      <c r="C58" s="85" t="s">
        <v>489</v>
      </c>
      <c r="D58" s="46">
        <f>Waterfall!N12*(1-Assumptions!$F$80)</f>
        <v>0</v>
      </c>
    </row>
    <row r="59" spans="2:4" x14ac:dyDescent="0.15">
      <c r="B59" s="86">
        <f>Timing!F42</f>
        <v>49309</v>
      </c>
      <c r="C59" s="85" t="s">
        <v>490</v>
      </c>
      <c r="D59" s="46">
        <f>Waterfall!O12*(1-Assumptions!$F$80)</f>
        <v>0</v>
      </c>
    </row>
    <row r="60" spans="2:4" x14ac:dyDescent="0.15">
      <c r="B60" s="86">
        <f>Timing!F43</f>
        <v>49490</v>
      </c>
      <c r="C60" s="85" t="s">
        <v>491</v>
      </c>
      <c r="D60" s="46">
        <f>Waterfall!P12*(1-Assumptions!$F$80)</f>
        <v>0</v>
      </c>
    </row>
    <row r="61" spans="2:4" x14ac:dyDescent="0.15">
      <c r="B61" s="86">
        <f>Timing!F44</f>
        <v>49674</v>
      </c>
      <c r="C61" s="85" t="s">
        <v>492</v>
      </c>
      <c r="D61" s="46">
        <f>Waterfall!Q12*(1-Assumptions!$F$80)</f>
        <v>0</v>
      </c>
    </row>
    <row r="62" spans="2:4" x14ac:dyDescent="0.15">
      <c r="B62" s="86">
        <f>Timing!F45</f>
        <v>49856</v>
      </c>
      <c r="C62" s="85" t="s">
        <v>493</v>
      </c>
      <c r="D62" s="46">
        <f>Waterfall!R12*(1-Assumptions!$F$80)</f>
        <v>0</v>
      </c>
    </row>
    <row r="63" spans="2:4" x14ac:dyDescent="0.15">
      <c r="B63" s="86">
        <f>Timing!F46</f>
        <v>50040</v>
      </c>
      <c r="C63" s="85" t="s">
        <v>494</v>
      </c>
      <c r="D63" s="46">
        <f>Waterfall!S12*(1-Assumptions!$F$80)</f>
        <v>0</v>
      </c>
    </row>
    <row r="64" spans="2:4" x14ac:dyDescent="0.15">
      <c r="B64" s="86">
        <f>Timing!F47</f>
        <v>50221</v>
      </c>
      <c r="C64" s="85" t="s">
        <v>495</v>
      </c>
      <c r="D64" s="46">
        <f>Waterfall!T12*(1-Assumptions!$F$80)</f>
        <v>0</v>
      </c>
    </row>
    <row r="65" spans="2:4" x14ac:dyDescent="0.15">
      <c r="B65" s="86">
        <f>Timing!F48</f>
        <v>50405</v>
      </c>
      <c r="C65" s="85" t="s">
        <v>496</v>
      </c>
      <c r="D65" s="46">
        <f>Waterfall!U12*(1-Assumptions!$F$80)</f>
        <v>0</v>
      </c>
    </row>
    <row r="66" spans="2:4" x14ac:dyDescent="0.15">
      <c r="B66" s="86">
        <f>Timing!F49</f>
        <v>50586</v>
      </c>
      <c r="C66" s="85" t="s">
        <v>497</v>
      </c>
      <c r="D66" s="46">
        <f>Waterfall!V12*(1-Assumptions!$F$80)+(MAX(0,Assumptions!$F$102*MAX(0,Operations!U44+Operations!V44)-MAX(0,Debt!V14+Debt!V40)))</f>
        <v>0</v>
      </c>
    </row>
    <row r="70" spans="2:4" x14ac:dyDescent="0.15">
      <c r="B70" s="87"/>
    </row>
    <row r="71" spans="2:4" x14ac:dyDescent="0.15">
      <c r="B71" s="87" t="s">
        <v>11</v>
      </c>
      <c r="D71" s="46">
        <f>Construction!$D$46</f>
        <v>126530823.25658485</v>
      </c>
    </row>
    <row r="72" spans="2:4" x14ac:dyDescent="0.15">
      <c r="B72" s="87" t="s">
        <v>498</v>
      </c>
      <c r="D72" s="46">
        <f>Construction!$D$56</f>
        <v>32212322.577479877</v>
      </c>
    </row>
    <row r="73" spans="2:4" x14ac:dyDescent="0.15">
      <c r="B73" s="87" t="s">
        <v>499</v>
      </c>
      <c r="D73" s="46">
        <f>Construction!$D$57</f>
        <v>29160000</v>
      </c>
    </row>
    <row r="74" spans="2:4" x14ac:dyDescent="0.15">
      <c r="B74" s="87" t="s">
        <v>500</v>
      </c>
      <c r="D74" s="46">
        <f>Construction!$D$62</f>
        <v>0.7224931677001486</v>
      </c>
    </row>
    <row r="75" spans="2:4" x14ac:dyDescent="0.15">
      <c r="B75" s="87"/>
    </row>
  </sheetData>
  <mergeCells count="5">
    <mergeCell ref="B2:J3"/>
    <mergeCell ref="B6:D6"/>
    <mergeCell ref="B12:D12"/>
    <mergeCell ref="B19:D19"/>
    <mergeCell ref="B26:F26"/>
  </mergeCells>
  <hyperlinks>
    <hyperlink ref="E4" location="Cover!A1" display="&lt;&lt;&lt;&lt;" xr:uid="{C032366D-F4B1-8D48-AFF5-AB3A99B0E63D}"/>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F6B69"/>
  </sheetPr>
  <dimension ref="B2:H38"/>
  <sheetViews>
    <sheetView showGridLines="0" zoomScale="115" zoomScaleNormal="100" workbookViewId="0">
      <pane xSplit="2" ySplit="7" topLeftCell="C8" activePane="bottomRight" state="frozen"/>
      <selection activeCell="H27" sqref="H27"/>
      <selection pane="topRight" activeCell="H27" sqref="H27"/>
      <selection pane="bottomLeft" activeCell="H27" sqref="H27"/>
      <selection pane="bottomRight" activeCell="E20" sqref="E20"/>
    </sheetView>
  </sheetViews>
  <sheetFormatPr baseColWidth="10" defaultColWidth="8.6640625" defaultRowHeight="14" x14ac:dyDescent="0.15"/>
  <cols>
    <col min="1" max="1" width="3" style="2" customWidth="1"/>
    <col min="2" max="2" width="42" style="2" customWidth="1"/>
    <col min="3" max="5" width="16" style="2" customWidth="1"/>
    <col min="6" max="8" width="14" style="2" customWidth="1"/>
    <col min="9" max="16384" width="8.6640625" style="2"/>
  </cols>
  <sheetData>
    <row r="2" spans="2:8" x14ac:dyDescent="0.15">
      <c r="B2" s="1" t="s">
        <v>501</v>
      </c>
      <c r="C2" s="1"/>
      <c r="D2" s="1"/>
      <c r="E2" s="1"/>
      <c r="F2" s="1"/>
      <c r="G2" s="1"/>
      <c r="H2" s="1"/>
    </row>
    <row r="3" spans="2:8" x14ac:dyDescent="0.15">
      <c r="B3" s="1"/>
      <c r="C3" s="1"/>
      <c r="D3" s="1"/>
      <c r="E3" s="1"/>
      <c r="F3" s="1"/>
      <c r="G3" s="1"/>
      <c r="H3" s="1"/>
    </row>
    <row r="4" spans="2:8" ht="30" customHeight="1" x14ac:dyDescent="0.15">
      <c r="B4" s="36" t="s">
        <v>502</v>
      </c>
      <c r="C4" s="36"/>
      <c r="D4" s="36"/>
      <c r="E4" s="36"/>
      <c r="F4" s="36"/>
      <c r="G4" s="36"/>
      <c r="H4" s="36"/>
    </row>
    <row r="5" spans="2:8" ht="16" x14ac:dyDescent="0.2">
      <c r="B5" s="3" t="s">
        <v>33</v>
      </c>
      <c r="C5" s="4" t="str">
        <f>Cover!$C$9</f>
        <v>Base</v>
      </c>
      <c r="D5" s="84" t="s">
        <v>683</v>
      </c>
    </row>
    <row r="6" spans="2:8" x14ac:dyDescent="0.15">
      <c r="B6" s="7" t="s">
        <v>503</v>
      </c>
      <c r="C6" s="7"/>
      <c r="D6" s="7"/>
      <c r="E6" s="7"/>
    </row>
    <row r="7" spans="2:8" x14ac:dyDescent="0.15">
      <c r="B7" s="31" t="s">
        <v>504</v>
      </c>
      <c r="C7" s="31" t="s">
        <v>5</v>
      </c>
      <c r="D7" s="31" t="s">
        <v>505</v>
      </c>
      <c r="E7" s="31" t="s">
        <v>506</v>
      </c>
    </row>
    <row r="8" spans="2:8" x14ac:dyDescent="0.15">
      <c r="B8" s="27" t="s">
        <v>507</v>
      </c>
      <c r="C8" s="37">
        <f>Assumptions!$C$9</f>
        <v>15000</v>
      </c>
      <c r="D8" s="37">
        <f>Assumptions!$D$9</f>
        <v>15000</v>
      </c>
      <c r="E8" s="37">
        <f>Assumptions!$E$9</f>
        <v>15000</v>
      </c>
    </row>
    <row r="9" spans="2:8" x14ac:dyDescent="0.15">
      <c r="B9" s="27" t="s">
        <v>508</v>
      </c>
      <c r="C9" s="38">
        <f>Assumptions!$C$12</f>
        <v>0.95</v>
      </c>
      <c r="D9" s="38">
        <f>Assumptions!$D$12</f>
        <v>0.98</v>
      </c>
      <c r="E9" s="38">
        <f>Assumptions!$E$12</f>
        <v>0.8</v>
      </c>
    </row>
    <row r="10" spans="2:8" x14ac:dyDescent="0.15">
      <c r="B10" s="27" t="s">
        <v>509</v>
      </c>
      <c r="C10" s="37">
        <f>C9*C8/2</f>
        <v>7125</v>
      </c>
      <c r="D10" s="37">
        <f>D9*D8/2</f>
        <v>7350</v>
      </c>
      <c r="E10" s="37">
        <f>E9*E8/2</f>
        <v>6000</v>
      </c>
    </row>
    <row r="11" spans="2:8" x14ac:dyDescent="0.15">
      <c r="B11" s="27" t="s">
        <v>510</v>
      </c>
      <c r="C11" s="37">
        <f>C10*Assumptions!$C$13</f>
        <v>6056.25</v>
      </c>
      <c r="D11" s="37">
        <f>D10*Assumptions!$D$13</f>
        <v>6247.5</v>
      </c>
      <c r="E11" s="37">
        <f>E10*Assumptions!$E$13</f>
        <v>5100</v>
      </c>
    </row>
    <row r="12" spans="2:8" x14ac:dyDescent="0.15">
      <c r="B12" s="27" t="s">
        <v>511</v>
      </c>
      <c r="C12" s="39">
        <f>Assumptions!$C$20*(1+Assumptions!$C$49)^5</f>
        <v>7804.6335950354242</v>
      </c>
      <c r="D12" s="39">
        <f>Assumptions!$D$20*(1+Assumptions!$D$49)^5</f>
        <v>8975.3286342907377</v>
      </c>
      <c r="E12" s="39">
        <f>Assumptions!$E$20*(1+Assumptions!$E$49)^5</f>
        <v>6243.7068760283391</v>
      </c>
    </row>
    <row r="13" spans="2:8" x14ac:dyDescent="0.15">
      <c r="B13" s="27" t="s">
        <v>512</v>
      </c>
      <c r="C13" s="39">
        <f>Assumptions!$C$15*Assumptions!$C$21+Assumptions!$C$16*Assumptions!$C$22+Assumptions!$C$17*Assumptions!$C$23</f>
        <v>610</v>
      </c>
      <c r="D13" s="39">
        <f>Assumptions!$D$15*Assumptions!$D$21+Assumptions!$D$16*Assumptions!$D$22+Assumptions!$D$17*Assumptions!$D$23</f>
        <v>610</v>
      </c>
      <c r="E13" s="39">
        <f>Assumptions!$E$15*Assumptions!$E$21+Assumptions!$E$16*Assumptions!$E$22+Assumptions!$E$17*Assumptions!$E$23</f>
        <v>610</v>
      </c>
    </row>
    <row r="14" spans="2:8" x14ac:dyDescent="0.15">
      <c r="B14" s="27" t="s">
        <v>513</v>
      </c>
      <c r="C14" s="39">
        <f>(C12+C13)*C11</f>
        <v>50961124.709933288</v>
      </c>
      <c r="D14" s="39">
        <f>(D12+D13)*D11</f>
        <v>59884340.642731383</v>
      </c>
      <c r="E14" s="39">
        <f>(E12+E13)*E11</f>
        <v>34953905.067744531</v>
      </c>
    </row>
    <row r="15" spans="2:8" x14ac:dyDescent="0.15">
      <c r="B15" s="27" t="s">
        <v>514</v>
      </c>
      <c r="C15" s="39">
        <f>C10*Assumptions!$C$14*(Assumptions!$C$29*(1+Assumptions!$C$30)^5)/Assumptions!$C$31*1000/(Assumptions!$C$32*(1+Assumptions!$C$33)^5)</f>
        <v>41735679.570973694</v>
      </c>
      <c r="D15" s="39">
        <f>D10*Assumptions!$D$14*(Assumptions!$D$29*(1+Assumptions!$D$30)^5)/Assumptions!$D$31*1000/(Assumptions!$D$32*(1+Assumptions!$D$33)^5)</f>
        <v>44572097.478910387</v>
      </c>
      <c r="E15" s="39">
        <f>E10*Assumptions!$E$14*(Assumptions!$E$29*(1+Assumptions!$E$30)^5)/Assumptions!$E$31*1000/(Assumptions!$E$32*(1+Assumptions!$E$33)^5)</f>
        <v>36035188.437568344</v>
      </c>
    </row>
    <row r="16" spans="2:8" x14ac:dyDescent="0.15">
      <c r="B16" s="27" t="s">
        <v>515</v>
      </c>
      <c r="C16" s="39">
        <f>C10*Assumptions!$C$37*(1+Assumptions!$C$49)^5+C11*Assumptions!$C$38*(1+Assumptions!$C$49)^5</f>
        <v>7850660.0279775746</v>
      </c>
      <c r="D16" s="39">
        <f>D10*Assumptions!$D$37*(1+Assumptions!$D$49)^5+D11*Assumptions!$D$38*(1+Assumptions!$D$49)^5</f>
        <v>8098575.6078084456</v>
      </c>
      <c r="E16" s="39">
        <f>E10*Assumptions!$E$37*(1+Assumptions!$E$49)^5+E11*Assumptions!$E$38*(1+Assumptions!$E$49)^5</f>
        <v>6611082.1288232207</v>
      </c>
    </row>
    <row r="17" spans="2:8" x14ac:dyDescent="0.15">
      <c r="B17" s="40" t="s">
        <v>516</v>
      </c>
      <c r="C17" s="18">
        <f>C14-C15-C16</f>
        <v>1374785.1109820195</v>
      </c>
      <c r="D17" s="18">
        <f>D14-D15-D16</f>
        <v>7213667.5560125513</v>
      </c>
      <c r="E17" s="18">
        <f>E14-E15-E16</f>
        <v>-7692365.4986470342</v>
      </c>
    </row>
    <row r="18" spans="2:8" x14ac:dyDescent="0.15">
      <c r="B18" s="41" t="s">
        <v>517</v>
      </c>
      <c r="C18" s="21">
        <f>C17/C14</f>
        <v>2.6977134409948526E-2</v>
      </c>
      <c r="D18" s="21">
        <f>D17/D14</f>
        <v>0.12045999803269319</v>
      </c>
      <c r="E18" s="21">
        <f>E17/E14</f>
        <v>-0.22007170539996546</v>
      </c>
    </row>
    <row r="19" spans="2:8" x14ac:dyDescent="0.15">
      <c r="B19" s="27" t="s">
        <v>518</v>
      </c>
      <c r="C19" s="39">
        <f>C8*Assumptions!$C$36*Assumptions!$C$46</f>
        <v>108000000</v>
      </c>
      <c r="D19" s="39">
        <f>D8*Assumptions!$D$36*Assumptions!$D$46</f>
        <v>99360000</v>
      </c>
      <c r="E19" s="39">
        <f>E8*Assumptions!$E$36*Assumptions!$E$46</f>
        <v>118800000</v>
      </c>
    </row>
    <row r="20" spans="2:8" x14ac:dyDescent="0.15">
      <c r="B20" s="40" t="s">
        <v>519</v>
      </c>
      <c r="C20" s="22">
        <f>C17/(C19*Assumptions!$C$42/2)</f>
        <v>0.26798930038635854</v>
      </c>
      <c r="D20" s="22">
        <f>D17/(D19*Assumptions!$D$42/2)</f>
        <v>1.6594588350615485</v>
      </c>
      <c r="E20" s="22">
        <f>E17/(E19*Assumptions!$E$42/2)</f>
        <v>-1.1772827515529589</v>
      </c>
    </row>
    <row r="22" spans="2:8" x14ac:dyDescent="0.15">
      <c r="B22" s="7" t="s">
        <v>520</v>
      </c>
      <c r="C22" s="7"/>
      <c r="D22" s="7"/>
      <c r="E22" s="7"/>
      <c r="F22" s="7"/>
      <c r="G22" s="7"/>
      <c r="H22" s="7"/>
    </row>
    <row r="23" spans="2:8" x14ac:dyDescent="0.15">
      <c r="B23" s="31" t="s">
        <v>521</v>
      </c>
      <c r="C23" s="31" t="s">
        <v>522</v>
      </c>
      <c r="D23" s="31" t="s">
        <v>523</v>
      </c>
      <c r="E23" s="31" t="s">
        <v>5</v>
      </c>
      <c r="F23" s="31" t="s">
        <v>524</v>
      </c>
      <c r="G23" s="31" t="s">
        <v>525</v>
      </c>
    </row>
    <row r="24" spans="2:8" x14ac:dyDescent="0.15">
      <c r="B24" s="27" t="s">
        <v>526</v>
      </c>
      <c r="C24" s="39">
        <f>Assumptions!$F$20*(1+Assumptions!$F$49)^5*(1+-0.2)</f>
        <v>6243.70687602834</v>
      </c>
      <c r="D24" s="39">
        <f>Assumptions!$F$20*(1+Assumptions!$F$49)^5*(1+-0.1)</f>
        <v>7024.1702355318821</v>
      </c>
      <c r="E24" s="39">
        <f>Assumptions!$F$20*(1+Assumptions!$F$49)^5*(1+0)</f>
        <v>7804.6335950354242</v>
      </c>
      <c r="F24" s="39">
        <f>Assumptions!$F$20*(1+Assumptions!$F$49)^5*(1+0.1)</f>
        <v>8585.0969545389671</v>
      </c>
      <c r="G24" s="39">
        <f>Assumptions!$F$20*(1+Assumptions!$F$49)^5*(1+0.15)</f>
        <v>8975.3286342907377</v>
      </c>
    </row>
    <row r="25" spans="2:8" x14ac:dyDescent="0.15">
      <c r="B25" s="27" t="s">
        <v>527</v>
      </c>
      <c r="C25" s="18">
        <f>(C24+Assumptions!$F$15*Assumptions!$F$21+Assumptions!$F$16*Assumptions!$F$22+Assumptions!$F$17*Assumptions!$F$23)*Operations!N14-Operations!N36-Operations!N39-Operations!N41</f>
        <v>-3706789.116914582</v>
      </c>
      <c r="D25" s="18">
        <f>(D24+Assumptions!$F$15*Assumptions!$F$21+Assumptions!$F$16*Assumptions!$F$22+Assumptions!$F$17*Assumptions!$F$23)*Operations!N14-Operations!N36-Operations!N39-Operations!N41</f>
        <v>1019892.1040787506</v>
      </c>
      <c r="E25" s="18">
        <f>(E24+Assumptions!$F$15*Assumptions!$F$21+Assumptions!$F$16*Assumptions!$F$22+Assumptions!$F$17*Assumptions!$F$23)*Operations!N14-Operations!N36-Operations!N39-Operations!N41</f>
        <v>5746573.3250720752</v>
      </c>
      <c r="F25" s="18">
        <f>(F24+Assumptions!$F$15*Assumptions!$F$21+Assumptions!$F$16*Assumptions!$F$22+Assumptions!$F$17*Assumptions!$F$23)*Operations!N14-Operations!N36-Operations!N39-Operations!N41</f>
        <v>10473254.546065407</v>
      </c>
      <c r="G25" s="18">
        <f>(G24+Assumptions!$F$15*Assumptions!$F$21+Assumptions!$F$16*Assumptions!$F$22+Assumptions!$F$17*Assumptions!$F$23)*Operations!N14-Operations!N36-Operations!N39-Operations!N41</f>
        <v>12836595.156562069</v>
      </c>
    </row>
    <row r="27" spans="2:8" x14ac:dyDescent="0.15">
      <c r="B27" s="7" t="s">
        <v>528</v>
      </c>
      <c r="C27" s="7"/>
      <c r="D27" s="7"/>
      <c r="E27" s="7"/>
      <c r="F27" s="7"/>
      <c r="G27" s="7"/>
      <c r="H27" s="7"/>
    </row>
    <row r="28" spans="2:8" ht="45" customHeight="1" x14ac:dyDescent="0.15">
      <c r="B28" s="34" t="s">
        <v>529</v>
      </c>
      <c r="C28" s="34"/>
      <c r="D28" s="34"/>
      <c r="E28" s="34"/>
      <c r="F28" s="34"/>
      <c r="G28" s="34"/>
      <c r="H28" s="34"/>
    </row>
    <row r="30" spans="2:8" x14ac:dyDescent="0.15">
      <c r="B30" s="7" t="s">
        <v>530</v>
      </c>
      <c r="C30" s="7"/>
      <c r="D30" s="7"/>
      <c r="E30" s="7"/>
    </row>
    <row r="31" spans="2:8" ht="31.5" customHeight="1" x14ac:dyDescent="0.15">
      <c r="B31" s="42" t="s">
        <v>531</v>
      </c>
      <c r="C31" s="42"/>
      <c r="D31" s="42"/>
      <c r="E31" s="42"/>
    </row>
    <row r="32" spans="2:8" x14ac:dyDescent="0.15">
      <c r="B32" s="43" t="s">
        <v>504</v>
      </c>
      <c r="C32" s="43" t="s">
        <v>5</v>
      </c>
      <c r="D32" s="43" t="s">
        <v>505</v>
      </c>
      <c r="E32" s="43" t="s">
        <v>506</v>
      </c>
    </row>
    <row r="33" spans="2:5" x14ac:dyDescent="0.15">
      <c r="B33" s="27" t="s">
        <v>14</v>
      </c>
      <c r="C33" s="44" t="s">
        <v>532</v>
      </c>
      <c r="D33" s="44" t="s">
        <v>533</v>
      </c>
      <c r="E33" s="44" t="s">
        <v>534</v>
      </c>
    </row>
    <row r="34" spans="2:5" x14ac:dyDescent="0.15">
      <c r="B34" s="27" t="s">
        <v>535</v>
      </c>
      <c r="C34" s="44" t="s">
        <v>536</v>
      </c>
      <c r="D34" s="44" t="s">
        <v>537</v>
      </c>
      <c r="E34" s="44" t="s">
        <v>538</v>
      </c>
    </row>
    <row r="35" spans="2:5" x14ac:dyDescent="0.15">
      <c r="B35" s="27" t="s">
        <v>16</v>
      </c>
      <c r="C35" s="44" t="s">
        <v>539</v>
      </c>
      <c r="D35" s="44" t="s">
        <v>540</v>
      </c>
      <c r="E35" s="44" t="s">
        <v>541</v>
      </c>
    </row>
    <row r="36" spans="2:5" x14ac:dyDescent="0.15">
      <c r="B36" s="27" t="s">
        <v>452</v>
      </c>
      <c r="C36" s="44" t="s">
        <v>542</v>
      </c>
      <c r="D36" s="44" t="s">
        <v>542</v>
      </c>
      <c r="E36" s="44" t="s">
        <v>542</v>
      </c>
    </row>
    <row r="38" spans="2:5" ht="30" customHeight="1" x14ac:dyDescent="0.15">
      <c r="B38" s="45" t="s">
        <v>543</v>
      </c>
      <c r="C38" s="45"/>
      <c r="D38" s="45"/>
      <c r="E38" s="45"/>
    </row>
  </sheetData>
  <mergeCells count="9">
    <mergeCell ref="B28:H28"/>
    <mergeCell ref="B30:E30"/>
    <mergeCell ref="B31:E31"/>
    <mergeCell ref="B38:E38"/>
    <mergeCell ref="B2:H3"/>
    <mergeCell ref="B4:H4"/>
    <mergeCell ref="B6:E6"/>
    <mergeCell ref="B22:H22"/>
    <mergeCell ref="B27:H27"/>
  </mergeCells>
  <hyperlinks>
    <hyperlink ref="D5" location="Cover!A1" display="&lt;&lt;&lt;&lt;" xr:uid="{3AB79DEE-486C-7C4F-892B-CB1A5BE1184D}"/>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F6B69"/>
  </sheetPr>
  <dimension ref="B2:E36"/>
  <sheetViews>
    <sheetView showGridLines="0" zoomScaleNormal="100" workbookViewId="0">
      <selection activeCell="E1" sqref="E1"/>
    </sheetView>
  </sheetViews>
  <sheetFormatPr baseColWidth="10" defaultColWidth="8.6640625" defaultRowHeight="14" x14ac:dyDescent="0.15"/>
  <cols>
    <col min="1" max="1" width="3" style="2" customWidth="1"/>
    <col min="2" max="2" width="52" style="2" customWidth="1"/>
    <col min="3" max="3" width="16" style="2" customWidth="1"/>
    <col min="4" max="4" width="55.33203125" style="2" customWidth="1"/>
    <col min="5" max="5" width="60" style="2" customWidth="1"/>
    <col min="6" max="7" width="4" style="2" customWidth="1"/>
    <col min="8" max="16384" width="8.6640625" style="2"/>
  </cols>
  <sheetData>
    <row r="2" spans="2:5" x14ac:dyDescent="0.15">
      <c r="B2" s="1" t="s">
        <v>544</v>
      </c>
      <c r="C2" s="1"/>
      <c r="D2" s="1"/>
      <c r="E2" s="1"/>
    </row>
    <row r="3" spans="2:5" x14ac:dyDescent="0.15">
      <c r="B3" s="1"/>
      <c r="C3" s="1"/>
      <c r="D3" s="1"/>
      <c r="E3" s="1"/>
    </row>
    <row r="4" spans="2:5" ht="16" x14ac:dyDescent="0.2">
      <c r="B4" s="3" t="s">
        <v>33</v>
      </c>
      <c r="D4" s="4" t="str">
        <f>Assumptions!$D$4</f>
        <v>Base</v>
      </c>
      <c r="E4" s="84" t="s">
        <v>683</v>
      </c>
    </row>
    <row r="6" spans="2:5" x14ac:dyDescent="0.15">
      <c r="B6" s="7" t="s">
        <v>545</v>
      </c>
      <c r="C6" s="7"/>
      <c r="D6" s="7"/>
      <c r="E6" s="7"/>
    </row>
    <row r="7" spans="2:5" x14ac:dyDescent="0.15">
      <c r="B7" s="31" t="s">
        <v>546</v>
      </c>
      <c r="C7" s="31" t="s">
        <v>547</v>
      </c>
      <c r="D7" s="31" t="s">
        <v>548</v>
      </c>
      <c r="E7" s="31" t="s">
        <v>549</v>
      </c>
    </row>
    <row r="8" spans="2:5" ht="30" customHeight="1" x14ac:dyDescent="0.15">
      <c r="B8" s="32" t="s">
        <v>550</v>
      </c>
      <c r="C8" s="33" t="str">
        <f>IF(ABS(Construction!$D$60)&lt;1,"OK","FAIL")</f>
        <v>OK</v>
      </c>
      <c r="D8" s="11" t="s">
        <v>551</v>
      </c>
      <c r="E8" s="12" t="s">
        <v>552</v>
      </c>
    </row>
    <row r="9" spans="2:5" ht="30" customHeight="1" x14ac:dyDescent="0.15">
      <c r="B9" s="32" t="s">
        <v>553</v>
      </c>
      <c r="C9" s="33" t="str">
        <f>Waterfall!$D$17</f>
        <v>FAIL - shortfall</v>
      </c>
      <c r="D9" s="11" t="s">
        <v>554</v>
      </c>
      <c r="E9" s="12" t="s">
        <v>555</v>
      </c>
    </row>
    <row r="10" spans="2:5" ht="30" customHeight="1" x14ac:dyDescent="0.15">
      <c r="B10" s="32" t="s">
        <v>556</v>
      </c>
      <c r="C10" s="33" t="str">
        <f>Debt!$D$24</f>
        <v>FAIL</v>
      </c>
      <c r="D10" s="11" t="str">
        <f>"Target = "&amp;TEXT(Assumptions!$F$45,"0.00")&amp;"x"</f>
        <v>Target = 1.30x</v>
      </c>
      <c r="E10" s="12" t="s">
        <v>557</v>
      </c>
    </row>
    <row r="11" spans="2:5" ht="30" customHeight="1" x14ac:dyDescent="0.15">
      <c r="B11" s="32" t="s">
        <v>558</v>
      </c>
      <c r="C11" s="33" t="str">
        <f>IF(ABS(Debt!$D$22)&lt;1,"OK","FAIL")</f>
        <v>OK</v>
      </c>
      <c r="D11" s="11" t="s">
        <v>559</v>
      </c>
      <c r="E11" s="12" t="s">
        <v>560</v>
      </c>
    </row>
    <row r="12" spans="2:5" ht="30" customHeight="1" x14ac:dyDescent="0.15">
      <c r="B12" s="32" t="s">
        <v>561</v>
      </c>
      <c r="C12" s="33" t="str">
        <f>IF(ABS(Construction!$D$63-(Assumptions!$F$46+Assumptions!$F$75))&lt;0.02,"OK","REVIEW")</f>
        <v>OK</v>
      </c>
      <c r="D12" s="11" t="str">
        <f>"Target = "&amp;TEXT(Assumptions!$F$46+Assumptions!$F$75,"0%")&amp;" total leverage (senior+mezz)"</f>
        <v>Target = 75% total leverage (senior+mezz)</v>
      </c>
      <c r="E12" s="12" t="s">
        <v>562</v>
      </c>
    </row>
    <row r="13" spans="2:5" ht="30" customHeight="1" x14ac:dyDescent="0.15">
      <c r="B13" s="32" t="s">
        <v>563</v>
      </c>
      <c r="C13" s="33" t="str">
        <f>IF(ABS((Operations!C45)*20-(Construction!$D$6+Construction!$I$29+Construction!$M$29+Construction!$D$45))&lt;1000,"OK","REVIEW")</f>
        <v>OK</v>
      </c>
      <c r="D13" s="11" t="s">
        <v>564</v>
      </c>
      <c r="E13" s="12" t="s">
        <v>565</v>
      </c>
    </row>
    <row r="14" spans="2:5" ht="30" customHeight="1" x14ac:dyDescent="0.15">
      <c r="B14" s="32" t="s">
        <v>566</v>
      </c>
      <c r="C14" s="33" t="str">
        <f>IF(EDATE(Assumptions!$F$57,Assumptions!$F$58)=Assumptions!$F$59,"OK","REVIEW")</f>
        <v>OK</v>
      </c>
      <c r="D14" s="11" t="s">
        <v>567</v>
      </c>
      <c r="E14" s="12" t="s">
        <v>568</v>
      </c>
    </row>
    <row r="15" spans="2:5" ht="30" customHeight="1" x14ac:dyDescent="0.15">
      <c r="B15" s="32" t="s">
        <v>569</v>
      </c>
      <c r="C15" s="33" t="str">
        <f>"OK - by design"</f>
        <v>OK - by design</v>
      </c>
      <c r="D15" s="11" t="s">
        <v>570</v>
      </c>
      <c r="E15" s="12" t="s">
        <v>571</v>
      </c>
    </row>
    <row r="16" spans="2:5" ht="30" customHeight="1" x14ac:dyDescent="0.15">
      <c r="B16" s="32" t="s">
        <v>572</v>
      </c>
      <c r="C16" s="33" t="str">
        <f>"OK"</f>
        <v>OK</v>
      </c>
      <c r="D16" s="11" t="s">
        <v>573</v>
      </c>
      <c r="E16" s="12" t="s">
        <v>574</v>
      </c>
    </row>
    <row r="17" spans="2:5" ht="30" customHeight="1" x14ac:dyDescent="0.15">
      <c r="B17" s="32" t="s">
        <v>575</v>
      </c>
      <c r="C17" s="33" t="str">
        <f>"OK"</f>
        <v>OK</v>
      </c>
      <c r="D17" s="11" t="str">
        <f>"Contracted "&amp;TEXT(Assumptions!$F$24,"0%")&amp;" / Spot "&amp;TEXT(Assumptions!$F$25,"0%")&amp;" of output"</f>
        <v>Contracted 80% / Spot 20% of output</v>
      </c>
      <c r="E17" s="12" t="s">
        <v>576</v>
      </c>
    </row>
    <row r="18" spans="2:5" ht="30" customHeight="1" x14ac:dyDescent="0.15">
      <c r="B18" s="32" t="s">
        <v>577</v>
      </c>
      <c r="C18" s="33" t="str">
        <f>"OK"</f>
        <v>OK</v>
      </c>
      <c r="D18" s="11" t="s">
        <v>578</v>
      </c>
      <c r="E18" s="12" t="s">
        <v>579</v>
      </c>
    </row>
    <row r="20" spans="2:5" x14ac:dyDescent="0.15">
      <c r="B20" s="7" t="s">
        <v>580</v>
      </c>
      <c r="C20" s="7"/>
      <c r="D20" s="7"/>
      <c r="E20" s="7"/>
    </row>
    <row r="21" spans="2:5" ht="48" customHeight="1" x14ac:dyDescent="0.15">
      <c r="B21" s="34" t="s">
        <v>581</v>
      </c>
      <c r="C21" s="34"/>
      <c r="D21" s="34"/>
      <c r="E21" s="34"/>
    </row>
    <row r="22" spans="2:5" ht="48" customHeight="1" x14ac:dyDescent="0.15">
      <c r="B22" s="34" t="s">
        <v>582</v>
      </c>
      <c r="C22" s="34"/>
      <c r="D22" s="34"/>
      <c r="E22" s="34"/>
    </row>
    <row r="23" spans="2:5" ht="48" customHeight="1" x14ac:dyDescent="0.15">
      <c r="B23" s="34" t="s">
        <v>583</v>
      </c>
      <c r="C23" s="34"/>
      <c r="D23" s="34"/>
      <c r="E23" s="34"/>
    </row>
    <row r="24" spans="2:5" ht="48" customHeight="1" x14ac:dyDescent="0.15">
      <c r="B24" s="34" t="s">
        <v>584</v>
      </c>
      <c r="C24" s="34"/>
      <c r="D24" s="34"/>
      <c r="E24" s="34"/>
    </row>
    <row r="25" spans="2:5" ht="48" customHeight="1" x14ac:dyDescent="0.15">
      <c r="B25" s="34" t="s">
        <v>585</v>
      </c>
      <c r="C25" s="34"/>
      <c r="D25" s="34"/>
      <c r="E25" s="34"/>
    </row>
    <row r="27" spans="2:5" x14ac:dyDescent="0.15">
      <c r="B27" s="7" t="s">
        <v>586</v>
      </c>
      <c r="C27" s="7"/>
      <c r="D27" s="7"/>
      <c r="E27" s="7"/>
    </row>
    <row r="28" spans="2:5" ht="30" customHeight="1" x14ac:dyDescent="0.15">
      <c r="B28" s="32" t="s">
        <v>587</v>
      </c>
      <c r="C28" s="33" t="str">
        <f>IF(ABS(Debt!$V$40)&lt;1,"OK","REVIEW")</f>
        <v>OK</v>
      </c>
      <c r="D28" s="11" t="s">
        <v>588</v>
      </c>
      <c r="E28" s="12" t="s">
        <v>589</v>
      </c>
    </row>
    <row r="29" spans="2:5" ht="30" customHeight="1" x14ac:dyDescent="0.15">
      <c r="B29" s="32" t="s">
        <v>590</v>
      </c>
      <c r="C29" s="33" t="str">
        <f>IF(COUNTIF(Debt!C47:V47,"REVIEW")=0,"OK","REVIEW - see Debt sheet row 47")</f>
        <v>REVIEW - see Debt sheet row 47</v>
      </c>
      <c r="D29" s="11" t="s">
        <v>591</v>
      </c>
      <c r="E29" s="12" t="s">
        <v>592</v>
      </c>
    </row>
    <row r="30" spans="2:5" ht="30" customHeight="1" x14ac:dyDescent="0.15">
      <c r="B30" s="32" t="s">
        <v>593</v>
      </c>
      <c r="C30" s="33" t="str">
        <f>IF(COUNTIF(Reserves!C29:V29,"REVIEW")=0,"OK","REVIEW - see Reserves sheet row 29")</f>
        <v>OK</v>
      </c>
      <c r="D30" s="11" t="s">
        <v>594</v>
      </c>
      <c r="E30" s="12"/>
    </row>
    <row r="31" spans="2:5" ht="30" customHeight="1" x14ac:dyDescent="0.15">
      <c r="B31" s="32" t="s">
        <v>595</v>
      </c>
      <c r="C31" s="33" t="str">
        <f>IF(WorkingCap!$D$21&lt;=0,"OK","FAIL")</f>
        <v>OK</v>
      </c>
      <c r="D31" s="11" t="s">
        <v>596</v>
      </c>
      <c r="E31" s="12" t="s">
        <v>597</v>
      </c>
    </row>
    <row r="32" spans="2:5" ht="30" customHeight="1" x14ac:dyDescent="0.15">
      <c r="B32" s="32" t="s">
        <v>598</v>
      </c>
      <c r="C32" s="33" t="str">
        <f>IF(COUNTIF(Waterfall!C27:V27,"TRAP")=0,"OK - never triggered","TRIGGERED - see Waterfall row 27")</f>
        <v>TRIGGERED - see Waterfall row 27</v>
      </c>
      <c r="D32" s="11" t="s">
        <v>599</v>
      </c>
      <c r="E32" s="12" t="s">
        <v>600</v>
      </c>
    </row>
    <row r="33" spans="2:5" ht="30" customHeight="1" x14ac:dyDescent="0.15">
      <c r="B33" s="32" t="s">
        <v>601</v>
      </c>
      <c r="C33" s="33" t="str">
        <f>IF(ABS(Construction!$D$53-Construction!$D$57)&lt;1,"OK","FAIL")</f>
        <v>OK</v>
      </c>
      <c r="D33" s="11" t="s">
        <v>602</v>
      </c>
      <c r="E33" s="12" t="s">
        <v>603</v>
      </c>
    </row>
    <row r="34" spans="2:5" ht="30" customHeight="1" x14ac:dyDescent="0.15">
      <c r="B34" s="32" t="s">
        <v>604</v>
      </c>
      <c r="C34" s="33" t="str">
        <f>IF(ABS(Construction!$D$60)&lt;1,"OK","FAIL")</f>
        <v>OK</v>
      </c>
      <c r="D34" s="11" t="s">
        <v>605</v>
      </c>
      <c r="E34" s="12" t="s">
        <v>606</v>
      </c>
    </row>
    <row r="35" spans="2:5" ht="30" customHeight="1" x14ac:dyDescent="0.15">
      <c r="B35" s="32" t="s">
        <v>607</v>
      </c>
      <c r="C35" s="33" t="str">
        <f>"See Sensitivities sheet scenario comparison -- verified by toggling Cover!C9"</f>
        <v>See Sensitivities sheet scenario comparison -- verified by toggling Cover!C9</v>
      </c>
      <c r="D35" s="11" t="s">
        <v>608</v>
      </c>
      <c r="E35" s="12" t="s">
        <v>609</v>
      </c>
    </row>
    <row r="36" spans="2:5" ht="84" customHeight="1" x14ac:dyDescent="0.15">
      <c r="B36" s="35" t="s">
        <v>610</v>
      </c>
      <c r="C36" s="35"/>
      <c r="D36" s="35"/>
      <c r="E36" s="35"/>
    </row>
  </sheetData>
  <mergeCells count="10">
    <mergeCell ref="B23:E23"/>
    <mergeCell ref="B24:E24"/>
    <mergeCell ref="B25:E25"/>
    <mergeCell ref="B27:E27"/>
    <mergeCell ref="B36:E36"/>
    <mergeCell ref="B2:E3"/>
    <mergeCell ref="B6:E6"/>
    <mergeCell ref="B20:E20"/>
    <mergeCell ref="B21:E21"/>
    <mergeCell ref="B22:E22"/>
  </mergeCells>
  <hyperlinks>
    <hyperlink ref="E4" location="Cover!A1" display="&lt;&lt;&lt;&lt;" xr:uid="{BE09B520-480E-E346-8517-D0529545583E}"/>
  </hyperlink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F6B69"/>
  </sheetPr>
  <dimension ref="B2:C36"/>
  <sheetViews>
    <sheetView showGridLines="0" zoomScaleNormal="100" workbookViewId="0">
      <selection activeCell="C29" sqref="C29"/>
    </sheetView>
  </sheetViews>
  <sheetFormatPr baseColWidth="10" defaultColWidth="8.6640625" defaultRowHeight="14" x14ac:dyDescent="0.15"/>
  <cols>
    <col min="1" max="1" width="3" style="2" customWidth="1"/>
    <col min="2" max="2" width="26" style="2" customWidth="1"/>
    <col min="3" max="3" width="90" style="2" customWidth="1"/>
    <col min="4" max="16384" width="8.6640625" style="2"/>
  </cols>
  <sheetData>
    <row r="2" spans="2:3" x14ac:dyDescent="0.15">
      <c r="B2" s="1" t="s">
        <v>611</v>
      </c>
      <c r="C2" s="1"/>
    </row>
    <row r="3" spans="2:3" x14ac:dyDescent="0.15">
      <c r="B3" s="1"/>
      <c r="C3" s="1"/>
    </row>
    <row r="5" spans="2:3" x14ac:dyDescent="0.15">
      <c r="B5" s="7" t="s">
        <v>612</v>
      </c>
      <c r="C5" s="7"/>
    </row>
    <row r="6" spans="2:3" ht="31.5" customHeight="1" x14ac:dyDescent="0.15">
      <c r="B6" s="29" t="s">
        <v>613</v>
      </c>
      <c r="C6" s="30" t="s">
        <v>614</v>
      </c>
    </row>
    <row r="7" spans="2:3" ht="31.5" customHeight="1" x14ac:dyDescent="0.15">
      <c r="B7" s="29" t="s">
        <v>615</v>
      </c>
      <c r="C7" s="30" t="s">
        <v>616</v>
      </c>
    </row>
    <row r="8" spans="2:3" ht="31.5" customHeight="1" x14ac:dyDescent="0.15">
      <c r="B8" s="29" t="s">
        <v>617</v>
      </c>
      <c r="C8" s="30" t="s">
        <v>618</v>
      </c>
    </row>
    <row r="9" spans="2:3" ht="31.5" customHeight="1" x14ac:dyDescent="0.15">
      <c r="B9" s="29" t="s">
        <v>619</v>
      </c>
      <c r="C9" s="30" t="s">
        <v>620</v>
      </c>
    </row>
    <row r="10" spans="2:3" ht="31.5" customHeight="1" x14ac:dyDescent="0.15">
      <c r="B10" s="29" t="s">
        <v>621</v>
      </c>
      <c r="C10" s="30" t="s">
        <v>622</v>
      </c>
    </row>
    <row r="11" spans="2:3" ht="31.5" customHeight="1" x14ac:dyDescent="0.15">
      <c r="B11" s="29" t="s">
        <v>623</v>
      </c>
      <c r="C11" s="30" t="s">
        <v>624</v>
      </c>
    </row>
    <row r="12" spans="2:3" ht="31.5" customHeight="1" x14ac:dyDescent="0.15">
      <c r="B12" s="29" t="s">
        <v>625</v>
      </c>
      <c r="C12" s="30" t="s">
        <v>626</v>
      </c>
    </row>
    <row r="13" spans="2:3" ht="31.5" customHeight="1" x14ac:dyDescent="0.15">
      <c r="B13" s="29" t="s">
        <v>627</v>
      </c>
      <c r="C13" s="30" t="s">
        <v>628</v>
      </c>
    </row>
    <row r="14" spans="2:3" ht="31.5" customHeight="1" x14ac:dyDescent="0.15">
      <c r="B14" s="29" t="s">
        <v>56</v>
      </c>
      <c r="C14" s="30" t="s">
        <v>629</v>
      </c>
    </row>
    <row r="15" spans="2:3" ht="31.5" customHeight="1" x14ac:dyDescent="0.15">
      <c r="B15" s="29" t="s">
        <v>630</v>
      </c>
      <c r="C15" s="30" t="s">
        <v>631</v>
      </c>
    </row>
    <row r="16" spans="2:3" ht="31.5" customHeight="1" x14ac:dyDescent="0.15">
      <c r="B16" s="29" t="s">
        <v>632</v>
      </c>
      <c r="C16" s="30" t="s">
        <v>633</v>
      </c>
    </row>
    <row r="18" spans="2:3" x14ac:dyDescent="0.15">
      <c r="B18" s="7" t="s">
        <v>634</v>
      </c>
      <c r="C18" s="7"/>
    </row>
    <row r="19" spans="2:3" ht="31.5" customHeight="1" x14ac:dyDescent="0.15">
      <c r="B19" s="29" t="s">
        <v>635</v>
      </c>
      <c r="C19" s="30" t="s">
        <v>636</v>
      </c>
    </row>
    <row r="20" spans="2:3" ht="31.5" customHeight="1" x14ac:dyDescent="0.15">
      <c r="B20" s="29" t="s">
        <v>637</v>
      </c>
      <c r="C20" s="30" t="s">
        <v>638</v>
      </c>
    </row>
    <row r="21" spans="2:3" ht="31.5" customHeight="1" x14ac:dyDescent="0.15">
      <c r="B21" s="29" t="s">
        <v>639</v>
      </c>
      <c r="C21" s="30" t="s">
        <v>640</v>
      </c>
    </row>
    <row r="22" spans="2:3" ht="31.5" customHeight="1" x14ac:dyDescent="0.15">
      <c r="B22" s="29" t="s">
        <v>641</v>
      </c>
      <c r="C22" s="30" t="s">
        <v>642</v>
      </c>
    </row>
    <row r="23" spans="2:3" ht="31.5" customHeight="1" x14ac:dyDescent="0.15">
      <c r="B23" s="29" t="s">
        <v>643</v>
      </c>
      <c r="C23" s="30" t="s">
        <v>644</v>
      </c>
    </row>
    <row r="24" spans="2:3" ht="31.5" customHeight="1" x14ac:dyDescent="0.15">
      <c r="B24" s="29" t="s">
        <v>645</v>
      </c>
      <c r="C24" s="30" t="s">
        <v>646</v>
      </c>
    </row>
    <row r="25" spans="2:3" ht="31.5" customHeight="1" x14ac:dyDescent="0.15">
      <c r="B25" s="29" t="s">
        <v>647</v>
      </c>
      <c r="C25" s="30" t="s">
        <v>648</v>
      </c>
    </row>
    <row r="26" spans="2:3" ht="31.5" customHeight="1" x14ac:dyDescent="0.15">
      <c r="B26" s="29" t="s">
        <v>649</v>
      </c>
      <c r="C26" s="30" t="s">
        <v>650</v>
      </c>
    </row>
    <row r="27" spans="2:3" ht="31.5" customHeight="1" x14ac:dyDescent="0.15">
      <c r="B27" s="29" t="s">
        <v>651</v>
      </c>
      <c r="C27" s="30" t="s">
        <v>652</v>
      </c>
    </row>
    <row r="29" spans="2:3" ht="31.5" customHeight="1" x14ac:dyDescent="0.15">
      <c r="B29" s="29" t="s">
        <v>653</v>
      </c>
      <c r="C29" s="30" t="s">
        <v>654</v>
      </c>
    </row>
    <row r="30" spans="2:3" ht="31.5" customHeight="1" x14ac:dyDescent="0.15">
      <c r="B30" s="29" t="s">
        <v>655</v>
      </c>
      <c r="C30" s="30" t="s">
        <v>656</v>
      </c>
    </row>
    <row r="31" spans="2:3" ht="31.5" customHeight="1" x14ac:dyDescent="0.15">
      <c r="B31" s="29" t="s">
        <v>657</v>
      </c>
      <c r="C31" s="30" t="s">
        <v>658</v>
      </c>
    </row>
    <row r="32" spans="2:3" ht="31.5" customHeight="1" x14ac:dyDescent="0.15">
      <c r="B32" s="29" t="s">
        <v>659</v>
      </c>
      <c r="C32" s="30" t="s">
        <v>660</v>
      </c>
    </row>
    <row r="33" spans="2:3" ht="31.5" customHeight="1" x14ac:dyDescent="0.15">
      <c r="B33" s="29" t="s">
        <v>661</v>
      </c>
      <c r="C33" s="30" t="s">
        <v>662</v>
      </c>
    </row>
    <row r="34" spans="2:3" ht="31.5" customHeight="1" x14ac:dyDescent="0.15">
      <c r="B34" s="29" t="s">
        <v>663</v>
      </c>
      <c r="C34" s="30" t="s">
        <v>664</v>
      </c>
    </row>
    <row r="35" spans="2:3" ht="31.5" customHeight="1" x14ac:dyDescent="0.15">
      <c r="B35" s="29" t="s">
        <v>665</v>
      </c>
      <c r="C35" s="30" t="s">
        <v>666</v>
      </c>
    </row>
    <row r="36" spans="2:3" ht="31.5" customHeight="1" x14ac:dyDescent="0.15">
      <c r="B36" s="29" t="s">
        <v>667</v>
      </c>
      <c r="C36" s="30" t="s">
        <v>668</v>
      </c>
    </row>
  </sheetData>
  <mergeCells count="3">
    <mergeCell ref="B2:C3"/>
    <mergeCell ref="B5:C5"/>
    <mergeCell ref="B18:C18"/>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F6B69"/>
  </sheetPr>
  <dimension ref="B2:M4"/>
  <sheetViews>
    <sheetView showGridLines="0" zoomScaleNormal="100" workbookViewId="0">
      <pane ySplit="4" topLeftCell="A5" activePane="bottomLeft" state="frozen"/>
      <selection pane="bottomLeft" activeCell="B2" sqref="B2:M3"/>
    </sheetView>
  </sheetViews>
  <sheetFormatPr baseColWidth="10" defaultColWidth="8.6640625" defaultRowHeight="14" x14ac:dyDescent="0.15"/>
  <cols>
    <col min="1" max="1" width="3" style="2" customWidth="1"/>
    <col min="2" max="16384" width="8.6640625" style="2"/>
  </cols>
  <sheetData>
    <row r="2" spans="2:13" x14ac:dyDescent="0.15">
      <c r="B2" s="1" t="s">
        <v>669</v>
      </c>
      <c r="C2" s="1"/>
      <c r="D2" s="1"/>
      <c r="E2" s="1"/>
      <c r="F2" s="1"/>
      <c r="G2" s="1"/>
      <c r="H2" s="1"/>
      <c r="I2" s="1"/>
      <c r="J2" s="1"/>
      <c r="K2" s="1"/>
      <c r="L2" s="1"/>
      <c r="M2" s="1"/>
    </row>
    <row r="3" spans="2:13" x14ac:dyDescent="0.15">
      <c r="B3" s="1"/>
      <c r="C3" s="1"/>
      <c r="D3" s="1"/>
      <c r="E3" s="1"/>
      <c r="F3" s="1"/>
      <c r="G3" s="1"/>
      <c r="H3" s="1"/>
      <c r="I3" s="1"/>
      <c r="J3" s="1"/>
      <c r="K3" s="1"/>
      <c r="L3" s="1"/>
      <c r="M3" s="1"/>
    </row>
    <row r="4" spans="2:13" ht="16" x14ac:dyDescent="0.2">
      <c r="B4" s="28" t="s">
        <v>670</v>
      </c>
      <c r="G4" s="4" t="str">
        <f>Cover!$C$9</f>
        <v>Base</v>
      </c>
      <c r="H4" s="84" t="s">
        <v>683</v>
      </c>
    </row>
  </sheetData>
  <mergeCells count="1">
    <mergeCell ref="B2:M3"/>
  </mergeCells>
  <hyperlinks>
    <hyperlink ref="H4" location="Cover!A1" display="&lt;&lt;&lt;&lt;" xr:uid="{118D9D92-382D-4448-9A13-F9472E70CB71}"/>
  </hyperlink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Cover</vt:lpstr>
      <vt:lpstr>Assumptions</vt:lpstr>
      <vt:lpstr>Timing</vt:lpstr>
      <vt:lpstr>Construction</vt:lpstr>
      <vt:lpstr>Operations</vt:lpstr>
      <vt:lpstr>Debt</vt:lpstr>
      <vt:lpstr>Waterfall</vt:lpstr>
      <vt:lpstr>WorkingCap</vt:lpstr>
      <vt:lpstr>Reserves</vt:lpstr>
      <vt:lpstr>Outputs</vt:lpstr>
      <vt:lpstr>Sensitivities</vt:lpstr>
      <vt:lpstr>Audit</vt:lpstr>
      <vt:lpstr>Glossary</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Eric Asiedu-Akrofi</cp:lastModifiedBy>
  <cp:revision>1</cp:revision>
  <dcterms:created xsi:type="dcterms:W3CDTF">2026-08-27T00:20:41Z</dcterms:created>
  <dcterms:modified xsi:type="dcterms:W3CDTF">2026-09-07T21:41:12Z</dcterms:modified>
  <dc:language>en-US</dc:language>
</cp:coreProperties>
</file>