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3.xml.rels" ContentType="application/vnd.openxmlformats-package.relationships+xml"/>
  <Override PartName="/xl/worksheets/sheet9.xml" ContentType="application/vnd.openxmlformats-officedocument.spreadsheetml.worksheet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4.xml" ContentType="application/vnd.openxmlformats-officedocument.spreadsheetml.worksheet+xml"/>
  <Override PartName="/xl/worksheets/sheet3.xml" ContentType="application/vnd.openxmlformats-officedocument.spreadsheetml.worksheet+xml"/>
  <Override PartName="/xl/worksheets/sheet8.xml" ContentType="application/vnd.openxmlformats-officedocument.spreadsheetml.worksheet+xml"/>
  <Override PartName="/xl/worksheets/sheet13.xml" ContentType="application/vnd.openxmlformats-officedocument.spreadsheetml.worksheet+xml"/>
  <Override PartName="/xl/worksheets/sheet2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ver" sheetId="1" state="visible" r:id="rId3"/>
    <sheet name="Assumptions" sheetId="2" state="visible" r:id="rId4"/>
    <sheet name="Timing &amp; Calendar" sheetId="3" state="visible" r:id="rId5"/>
    <sheet name="Construction" sheetId="4" state="visible" r:id="rId6"/>
    <sheet name="Operations" sheetId="5" state="visible" r:id="rId7"/>
    <sheet name="Debt &amp; Financing" sheetId="6" state="visible" r:id="rId8"/>
    <sheet name="Cash Flow Waterfall" sheetId="7" state="visible" r:id="rId9"/>
    <sheet name="Reserves" sheetId="8" state="visible" r:id="rId10"/>
    <sheet name="Outputs &amp; Dashboard" sheetId="9" state="visible" r:id="rId11"/>
    <sheet name="Sensitivities &amp; Scenarios" sheetId="10" state="visible" r:id="rId12"/>
    <sheet name="Checks-Audit" sheetId="11" state="visible" r:id="rId13"/>
    <sheet name="Appendix-Glossary" sheetId="12" state="visible" r:id="rId14"/>
    <sheet name="Charts" sheetId="13" state="visible" r:id="rId15"/>
  </sheets>
  <definedNames>
    <definedName function="false" hidden="false" name="EqCF_neg_range" vbProcedure="false">'Outputs &amp; Dashboard'!$C$16:$Z$16</definedName>
    <definedName function="false" hidden="false" name="EqCF_pos_range" vbProcedure="false">'Outputs &amp; Dashboard'!$AA$16:$BD$16</definedName>
    <definedName function="false" hidden="false" name="EqCF_range" vbProcedure="false">'Outputs &amp; Dashboard'!$C$16:$BD$16</definedName>
    <definedName function="false" hidden="false" name="EqDate_range" vbProcedure="false">'Outputs &amp; Dashboard'!$C$15:$BD$15</definedName>
    <definedName function="false" hidden="false" name="Scenario" vbProcedure="false">Cover!$B$7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<sst xmlns="http://schemas.openxmlformats.org/spreadsheetml/2006/main" count="404" uniqueCount="368">
  <si>
    <t xml:space="preserve">40 MW Hyperscale-Ready Data Centre</t>
  </si>
  <si>
    <t xml:space="preserve">Behind-the-Meter 90 MWp Solar PV + 60 MWh BESS  |  Greater Accra, Ghana</t>
  </si>
  <si>
    <t xml:space="preserve">Project Finance Model — Reporting Currency: USD</t>
  </si>
  <si>
    <t xml:space="preserve">ACTIVE SCENARIO</t>
  </si>
  <si>
    <t xml:space="preserve">Scenario Key Changes</t>
  </si>
  <si>
    <t xml:space="preserve">Base Case</t>
  </si>
  <si>
    <t xml:space="preserve">Best: Utilisation +10pts, Capacity chg +8%, Solar yield +7%, Capex -7%, Rate -0.75%, PUE 1.18  |  Worst: Utilisation -15pts, Capacity chg -10%, Solar yield=P90, Capex +12%, Rate +1.25%, PUE 1.35, higher curtailment</t>
  </si>
  <si>
    <t xml:space="preserve">KEY OUTPUTS (live — updates with Scenario)</t>
  </si>
  <si>
    <t xml:space="preserve">EQUITY IRR</t>
  </si>
  <si>
    <t xml:space="preserve">EQUITY NPV @12%</t>
  </si>
  <si>
    <t xml:space="preserve">EQUITY MULTIPLE</t>
  </si>
  <si>
    <t xml:space="preserve">MIN DSCR</t>
  </si>
  <si>
    <t xml:space="preserve">AVG DSCR</t>
  </si>
  <si>
    <t xml:space="preserve">GEARING (ACTUAL)</t>
  </si>
  <si>
    <t xml:space="preserve">TOTAL PROJECT COST</t>
  </si>
  <si>
    <t xml:space="preserve">COD</t>
  </si>
  <si>
    <t xml:space="preserve">Project Summary</t>
  </si>
  <si>
    <t xml:space="preserve">IT Capacity</t>
  </si>
  <si>
    <t xml:space="preserve">40 MW</t>
  </si>
  <si>
    <t xml:space="preserve">Design PUE (Base)</t>
  </si>
  <si>
    <t xml:space="preserve">1.25</t>
  </si>
  <si>
    <t xml:space="preserve">Construction Period</t>
  </si>
  <si>
    <t xml:space="preserve">24 months</t>
  </si>
  <si>
    <t xml:space="preserve">Target COD</t>
  </si>
  <si>
    <t xml:space="preserve">1 July 2028</t>
  </si>
  <si>
    <t xml:space="preserve">Offtake Structure</t>
  </si>
  <si>
    <t xml:space="preserve">15-yr take-or-pay, 85% contracted / 15% spot</t>
  </si>
  <si>
    <t xml:space="preserve">Solar PV</t>
  </si>
  <si>
    <t xml:space="preserve">90 MWp single-axis tracking</t>
  </si>
  <si>
    <t xml:space="preserve">BESS</t>
  </si>
  <si>
    <t xml:space="preserve">60 MWh (4-hr), 90% RTE</t>
  </si>
  <si>
    <t xml:space="preserve">Senior Debt</t>
  </si>
  <si>
    <t xml:space="preserve">Sculpted to min. 1.35x DSCR, target 65% gearing</t>
  </si>
  <si>
    <t xml:space="preserve">Navigation: Assumptions | Timing &amp; Calendar | Construction | Operations | Debt &amp; Financing | Cash Flow Waterfall | Reserves | Outputs &amp; Dashboard | Sensitivities &amp; Scenarios | Checks-Audit | Appendix-Glossary | Charts</t>
  </si>
  <si>
    <t xml:space="preserve">ASSUMPTIONS — All Base/Best/Worst cases editable (blue). "Active" column drives the entire model.</t>
  </si>
  <si>
    <t xml:space="preserve">Active Scenario:</t>
  </si>
  <si>
    <t xml:space="preserve">Assumption</t>
  </si>
  <si>
    <t xml:space="preserve">Best Case</t>
  </si>
  <si>
    <t xml:space="preserve">Worst Case</t>
  </si>
  <si>
    <t xml:space="preserve">Active</t>
  </si>
  <si>
    <t xml:space="preserve">Notes / Source</t>
  </si>
  <si>
    <t xml:space="preserve">DATA CENTRE</t>
  </si>
  <si>
    <t xml:space="preserve">IT Capacity (MW)</t>
  </si>
  <si>
    <t xml:space="preserve">Fixed nameplate IT capacity — user brief</t>
  </si>
  <si>
    <t xml:space="preserve">Design PUE</t>
  </si>
  <si>
    <t xml:space="preserve">Best/Worst per brief</t>
  </si>
  <si>
    <t xml:space="preserve">Utilisation — Year 1</t>
  </si>
  <si>
    <t xml:space="preserve">Best +10pts / Worst -15pts vs Base</t>
  </si>
  <si>
    <t xml:space="preserve">Utilisation — Year 2</t>
  </si>
  <si>
    <t xml:space="preserve">Utilisation — Year 3+</t>
  </si>
  <si>
    <t xml:space="preserve">Capacity Charge ($/kW-month)</t>
  </si>
  <si>
    <t xml:space="preserve">Best +8% / Worst -10%</t>
  </si>
  <si>
    <t xml:space="preserve">Energy Charge ($/kWh)</t>
  </si>
  <si>
    <t xml:space="preserve">Set above blended renewable+grid-backup supply cost (~$0.06-0.14/kWh) plus margin, per brief; flat — not specified to vary by scenario</t>
  </si>
  <si>
    <t xml:space="preserve">Take-or-Pay Contracted Share</t>
  </si>
  <si>
    <t xml:space="preserve">85% take-or-pay per brief; residual on spot</t>
  </si>
  <si>
    <t xml:space="preserve">Grid Backup / Top-Up Price ($/kWh)</t>
  </si>
  <si>
    <t xml:space="preserve">Shortfall energy not met by dedicated renewables</t>
  </si>
  <si>
    <t xml:space="preserve">RENEWABLE POWER SYSTEM (90 MWp Solar + 60 MWh BESS)</t>
  </si>
  <si>
    <t xml:space="preserve">Solar Capacity (MWp)</t>
  </si>
  <si>
    <t xml:space="preserve">Single-axis tracking — fixed</t>
  </si>
  <si>
    <t xml:space="preserve">Specific Yield P50 (kWh/kWp/yr)</t>
  </si>
  <si>
    <t xml:space="preserve">Best +7% / Worst = P90 (1,520)</t>
  </si>
  <si>
    <t xml:space="preserve">Annual Degradation</t>
  </si>
  <si>
    <t xml:space="preserve">Flat across scenarios</t>
  </si>
  <si>
    <t xml:space="preserve">Curtailment / Clipping</t>
  </si>
  <si>
    <t xml:space="preserve">Worst: higher curtailment per brief</t>
  </si>
  <si>
    <t xml:space="preserve">BESS Capacity (MWh)</t>
  </si>
  <si>
    <t xml:space="preserve">4-hr equivalent — fixed</t>
  </si>
  <si>
    <t xml:space="preserve">BESS Round-Trip Efficiency</t>
  </si>
  <si>
    <t xml:space="preserve">Share of Generation Cycled via BESS</t>
  </si>
  <si>
    <t xml:space="preserve">Modelling assumption for RTE loss netting</t>
  </si>
  <si>
    <t xml:space="preserve">BESS Life (years, pre-augmentation)</t>
  </si>
  <si>
    <t xml:space="preserve">With augmentation per brief</t>
  </si>
  <si>
    <t xml:space="preserve">BESS Augmentation Capex (% of RE Capex)</t>
  </si>
  <si>
    <t xml:space="preserve">Modelling assumption — mid-life augmentation event</t>
  </si>
  <si>
    <t xml:space="preserve">Augmentation Event — Operating Period #</t>
  </si>
  <si>
    <t xml:space="preserve">~Year 8 (mid-BESS-life)</t>
  </si>
  <si>
    <t xml:space="preserve">COSTS</t>
  </si>
  <si>
    <t xml:space="preserve">Data Centre Capex ($m per IT MW)</t>
  </si>
  <si>
    <t xml:space="preserve">Best -7% / Worst +12%</t>
  </si>
  <si>
    <t xml:space="preserve">Solar + BESS Capex ($m per MWp)</t>
  </si>
  <si>
    <t xml:space="preserve">Data Centre O&amp;M ($k per IT MW p.a.)</t>
  </si>
  <si>
    <t xml:space="preserve">Solar+BESS O&amp;M ($k per MW p.a.)</t>
  </si>
  <si>
    <t xml:space="preserve">Land Lease &amp; Security ($k p.a.)</t>
  </si>
  <si>
    <t xml:space="preserve">FINANCING</t>
  </si>
  <si>
    <t xml:space="preserve">Debt Tenor (years from COD)</t>
  </si>
  <si>
    <t xml:space="preserve">Fixed</t>
  </si>
  <si>
    <t xml:space="preserve">All-in Interest Rate</t>
  </si>
  <si>
    <t xml:space="preserve">Best -0.75pts / Worst +1.25pts</t>
  </si>
  <si>
    <t xml:space="preserve">Upfront Fee</t>
  </si>
  <si>
    <t xml:space="preserve">DSRA (months of debt service)</t>
  </si>
  <si>
    <t xml:space="preserve">Target Minimum DSCR</t>
  </si>
  <si>
    <t xml:space="preserve">Sculpting target</t>
  </si>
  <si>
    <t xml:space="preserve">Target Gearing</t>
  </si>
  <si>
    <t xml:space="preserve">Cap on debt as % of hard capex</t>
  </si>
  <si>
    <t xml:space="preserve">Circularity Breaker (1=on)</t>
  </si>
  <si>
    <t xml:space="preserve">ON: tax excludes interest deductibility to avoid circularity without iterative calc. Set to 0 and enable Excel iterative calc for full precision.</t>
  </si>
  <si>
    <t xml:space="preserve">MACRO &amp; TAX</t>
  </si>
  <si>
    <t xml:space="preserve">USD Inflation</t>
  </si>
  <si>
    <t xml:space="preserve">Corporate Tax Rate (Ghana)</t>
  </si>
  <si>
    <t xml:space="preserve">Tax Depreciation Life — Data Centre (yrs)</t>
  </si>
  <si>
    <t xml:space="preserve">Straight-line, mid-point of 10-12yr range</t>
  </si>
  <si>
    <t xml:space="preserve">Tax Depreciation Life — Renewable (yrs)</t>
  </si>
  <si>
    <t xml:space="preserve">Straight-line per brief</t>
  </si>
  <si>
    <t xml:space="preserve">Equity Discount Rate</t>
  </si>
  <si>
    <t xml:space="preserve">TIMING</t>
  </si>
  <si>
    <t xml:space="preserve">Construction Start Date</t>
  </si>
  <si>
    <t xml:space="preserve">Construction Period (months)</t>
  </si>
  <si>
    <t xml:space="preserve">Operating Periods (semi-annual)</t>
  </si>
  <si>
    <t xml:space="preserve">TIMING &amp; CALENDAR — Master date axis driving Construction, Operations, Debt, Waterfall and Reserves</t>
  </si>
  <si>
    <t xml:space="preserve">CONSTRUCTION CALENDAR (Monthly, Month 1 = Construction Start)</t>
  </si>
  <si>
    <t xml:space="preserve">Month #</t>
  </si>
  <si>
    <t xml:space="preserve">Month Start Date</t>
  </si>
  <si>
    <t xml:space="preserve">Month End Date</t>
  </si>
  <si>
    <t xml:space="preserve">Days in Month</t>
  </si>
  <si>
    <t xml:space="preserve">OPERATIONS CALENDAR (Semi-Annual, Period 1 begins at COD)</t>
  </si>
  <si>
    <t xml:space="preserve">Period #</t>
  </si>
  <si>
    <t xml:space="preserve">Period Start Date</t>
  </si>
  <si>
    <t xml:space="preserve">Period End Date</t>
  </si>
  <si>
    <t xml:space="preserve">Months in Period</t>
  </si>
  <si>
    <t xml:space="preserve">Operating Year #</t>
  </si>
  <si>
    <t xml:space="preserve">Years Since COD (period start)</t>
  </si>
  <si>
    <t xml:space="preserve">Inflation Escalation Factor</t>
  </si>
  <si>
    <t xml:space="preserve">Solar Degradation Factor</t>
  </si>
  <si>
    <t xml:space="preserve">CONSTRUCTION — 24-Month Capex Drawdown, S-Curve, IDC &amp; Sources and Uses</t>
  </si>
  <si>
    <t xml:space="preserve">PROJECT HARD CAPEX (from Assumptions — Active scenario)</t>
  </si>
  <si>
    <t xml:space="preserve">Data Centre Capex ($)</t>
  </si>
  <si>
    <t xml:space="preserve">Renewable (Solar+BESS) Capex ($)</t>
  </si>
  <si>
    <t xml:space="preserve">Total Hard Capex ($)</t>
  </si>
  <si>
    <t xml:space="preserve">CAPEX S-CURVE DRAWDOWN (formula-driven parabola: weight(t) ∝ t×(25-t), normalised to 100%)</t>
  </si>
  <si>
    <t xml:space="preserve">Raw S-Curve Weight [t*(25-t)]</t>
  </si>
  <si>
    <t xml:space="preserve">Normalised Draw Weight (%)</t>
  </si>
  <si>
    <t xml:space="preserve">DC Capex Draw ($)</t>
  </si>
  <si>
    <t xml:space="preserve">Renewable Capex Draw ($)</t>
  </si>
  <si>
    <t xml:space="preserve">Total Capex Draw ($)</t>
  </si>
  <si>
    <t xml:space="preserve">Cumulative Capex Draw ($)</t>
  </si>
  <si>
    <t xml:space="preserve">DEBT &amp; EQUITY DRAWDOWN (pro-rata at Target Gearing on Hard Capex; IDC &amp; Fees equity-funded top-up)</t>
  </si>
  <si>
    <t xml:space="preserve">Debt Drawdown ($) [pro-rata at ratio = Final Sculpted Debt / Hard Capex]</t>
  </si>
  <si>
    <t xml:space="preserve">Cumulative Debt Drawn ($)</t>
  </si>
  <si>
    <t xml:space="preserve">IDC for Month (on opening cum. debt balance) ($)</t>
  </si>
  <si>
    <t xml:space="preserve">Cumulative IDC ($)</t>
  </si>
  <si>
    <t xml:space="preserve">Equity Drawdown ($) [Total draw less Debt Drawdown, plus IDC]</t>
  </si>
  <si>
    <t xml:space="preserve">SOURCES AND USES (at COD)</t>
  </si>
  <si>
    <t xml:space="preserve">USES</t>
  </si>
  <si>
    <t xml:space="preserve">SOURCES</t>
  </si>
  <si>
    <t xml:space="preserve">Data Centre Capex</t>
  </si>
  <si>
    <t xml:space="preserve">Senior Debt Drawn</t>
  </si>
  <si>
    <t xml:space="preserve">Renewable Capex</t>
  </si>
  <si>
    <t xml:space="preserve">Equity Contributed (Capex + IDC)</t>
  </si>
  <si>
    <t xml:space="preserve">Interest During Construction (IDC)</t>
  </si>
  <si>
    <t xml:space="preserve">Additional Equity — Fees &amp; Initial DSRA</t>
  </si>
  <si>
    <t xml:space="preserve">Upfront Financing Fee</t>
  </si>
  <si>
    <t xml:space="preserve">Initial DSRA Funding</t>
  </si>
  <si>
    <t xml:space="preserve">TOTAL USES</t>
  </si>
  <si>
    <t xml:space="preserve">TOTAL SOURCES</t>
  </si>
  <si>
    <t xml:space="preserve">CHECK: Sources = Uses</t>
  </si>
  <si>
    <t xml:space="preserve">OPERATIONS — Data Centre Revenue, Renewable Generation + BESS, Opex, EBITDA (30 Semi-Annual Periods)</t>
  </si>
  <si>
    <t xml:space="preserve">PERIOD REFERENCE</t>
  </si>
  <si>
    <t xml:space="preserve">Escalation Factor</t>
  </si>
  <si>
    <t xml:space="preserve">Degradation Factor (Solar)</t>
  </si>
  <si>
    <t xml:space="preserve">DATA CENTRE — UTILISATION &amp; DEMAND</t>
  </si>
  <si>
    <t xml:space="preserve">Utilisation %</t>
  </si>
  <si>
    <t xml:space="preserve">IT Load (MW)</t>
  </si>
  <si>
    <t xml:space="preserve">Facility Load incl. PUE (MW)</t>
  </si>
  <si>
    <t xml:space="preserve">Facility Energy Demand (MWh)</t>
  </si>
  <si>
    <t xml:space="preserve">RENEWABLE GENERATION + BESS</t>
  </si>
  <si>
    <t xml:space="preserve">Gross Solar Generation (MWh)</t>
  </si>
  <si>
    <t xml:space="preserve">BESS Round-Trip Loss (MWh)</t>
  </si>
  <si>
    <t xml:space="preserve">Net Renewable Supply to DC (MWh)</t>
  </si>
  <si>
    <t xml:space="preserve">Grid Shortfall (MWh)</t>
  </si>
  <si>
    <t xml:space="preserve">Renewable Self-Sufficiency %</t>
  </si>
  <si>
    <t xml:space="preserve">DATA CENTRE REVENUE</t>
  </si>
  <si>
    <t xml:space="preserve">Capacity Revenue — Contracted (Take-or-Pay) ($)</t>
  </si>
  <si>
    <t xml:space="preserve">Capacity Revenue — Residual (Spot, utilisation-based) ($)</t>
  </si>
  <si>
    <t xml:space="preserve">Energy Revenue ($)</t>
  </si>
  <si>
    <t xml:space="preserve">TOTAL DATA CENTRE REVENUE ($)</t>
  </si>
  <si>
    <t xml:space="preserve">OPERATING COSTS</t>
  </si>
  <si>
    <t xml:space="preserve">Data Centre O&amp;M ($)</t>
  </si>
  <si>
    <t xml:space="preserve">Renewable O&amp;M ($)</t>
  </si>
  <si>
    <t xml:space="preserve">Land Lease &amp; Security ($)</t>
  </si>
  <si>
    <t xml:space="preserve">Grid Backup / Top-Up Cost ($)</t>
  </si>
  <si>
    <t xml:space="preserve">TOTAL OPERATING COSTS ($)</t>
  </si>
  <si>
    <t xml:space="preserve">EBITDA</t>
  </si>
  <si>
    <t xml:space="preserve">EBITDA ($)</t>
  </si>
  <si>
    <t xml:space="preserve">DEBT &amp; FINANCING — Tax, CFADS, Sculpted Senior Debt (Target 1.35x Min DSCR, capped at 65% Gearing)</t>
  </si>
  <si>
    <t xml:space="preserve">PERIOD REFERENCE &amp; TAX</t>
  </si>
  <si>
    <t xml:space="preserve">Tax Depreciation — Data Centre ($)</t>
  </si>
  <si>
    <t xml:space="preserve">Tax Depreciation — Renewable ($)</t>
  </si>
  <si>
    <t xml:space="preserve">Taxable Income (EBITDA less Tax Dep.) ($)</t>
  </si>
  <si>
    <t xml:space="preserve">Cash Tax ($) [Circularity breaker: excl. interest deductibility]</t>
  </si>
  <si>
    <t xml:space="preserve">CFADS — Pre-Financing ($)</t>
  </si>
  <si>
    <t xml:space="preserve">DEBT SIZING (non-circular: CFADS is pre-financing, so sculpted capacity is independent of debt)</t>
  </si>
  <si>
    <t xml:space="preserve">Semi-Annual Interest Rate</t>
  </si>
  <si>
    <t xml:space="preserve">Target DSCR</t>
  </si>
  <si>
    <t xml:space="preserve">DSCR-Sculpted Debt Capacity ($) [PV of CFADS/TargetDSCR @ interest rate]</t>
  </si>
  <si>
    <t xml:space="preserve">Gearing Cap ($) [65% x Hard Capex]</t>
  </si>
  <si>
    <t xml:space="preserve">FINAL DEBT SIZE ($) [MIN of the two]</t>
  </si>
  <si>
    <t xml:space="preserve">Binding Constraint</t>
  </si>
  <si>
    <t xml:space="preserve">Actual Gearing (Debt / Hard Capex)</t>
  </si>
  <si>
    <t xml:space="preserve">SCULPTED AMORTISATION SCHEDULE</t>
  </si>
  <si>
    <t xml:space="preserve">Opening Balance ($)</t>
  </si>
  <si>
    <t xml:space="preserve">Interest ($)</t>
  </si>
  <si>
    <t xml:space="preserve">Target Debt Service (CFADS/TargetDSCR) ($)</t>
  </si>
  <si>
    <t xml:space="preserve">Scheduled Principal ($)</t>
  </si>
  <si>
    <t xml:space="preserve">Total Debt Service ($)</t>
  </si>
  <si>
    <t xml:space="preserve">Closing Balance ($)</t>
  </si>
  <si>
    <t xml:space="preserve">DSCR (CFADS / Debt Service)</t>
  </si>
  <si>
    <t xml:space="preserve">CHECK: Final Closing Balance = 0</t>
  </si>
  <si>
    <t xml:space="preserve">CHECK: Min DSCR &gt;= Target</t>
  </si>
  <si>
    <t xml:space="preserve">DSRA (6 MONTHS FORWARD DEBT SERVICE)</t>
  </si>
  <si>
    <t xml:space="preserve">DSRA Target (next period DS) ($)</t>
  </si>
  <si>
    <t xml:space="preserve">Initial DSRA Funding at COD ($)</t>
  </si>
  <si>
    <t xml:space="preserve">CASH FLOW WATERFALL — Standard Priority of Payments (30 Semi-Annual Periods)</t>
  </si>
  <si>
    <t xml:space="preserve">1. OPERATING CASH FLOW</t>
  </si>
  <si>
    <t xml:space="preserve">Data Centre Revenue ($)</t>
  </si>
  <si>
    <t xml:space="preserve">Less: Operating Costs ($)</t>
  </si>
  <si>
    <t xml:space="preserve">Less: Cash Tax ($)</t>
  </si>
  <si>
    <t xml:space="preserve">CFADS ($)</t>
  </si>
  <si>
    <t xml:space="preserve">2. SENIOR DEBT SERVICE</t>
  </si>
  <si>
    <t xml:space="preserve">Less: Senior Debt Service (Interest + Principal) ($)</t>
  </si>
  <si>
    <t xml:space="preserve">Cash Flow after Debt Service ($)</t>
  </si>
  <si>
    <t xml:space="preserve">3. RESERVES</t>
  </si>
  <si>
    <t xml:space="preserve">Less: DSRA Funding / Add: DSRA Release ($)</t>
  </si>
  <si>
    <t xml:space="preserve">Less: Augmentation Reserve Contribution ($)</t>
  </si>
  <si>
    <t xml:space="preserve">Less: Augmentation Capex Shortfall ($)</t>
  </si>
  <si>
    <t xml:space="preserve">4. DISTRIBUTABLE CASH FLOW</t>
  </si>
  <si>
    <t xml:space="preserve">Cash Available for Distribution ($)</t>
  </si>
  <si>
    <t xml:space="preserve">Equity Distribution ($)</t>
  </si>
  <si>
    <t xml:space="preserve">CHECK: No Negative Cash Anywhere</t>
  </si>
  <si>
    <t xml:space="preserve">RESERVES — DSRA (6 Months Forward Debt Service) &amp; BESS Augmentation Reserve</t>
  </si>
  <si>
    <t xml:space="preserve">DEBT SERVICE RESERVE ACCOUNT (DSRA)</t>
  </si>
  <si>
    <t xml:space="preserve">DSRA Opening Balance ($)</t>
  </si>
  <si>
    <t xml:space="preserve">DSRA Target Balance ($)</t>
  </si>
  <si>
    <t xml:space="preserve">DSRA Funding / (Release) ($)</t>
  </si>
  <si>
    <t xml:space="preserve">DSRA Closing Balance ($)</t>
  </si>
  <si>
    <t xml:space="preserve">BESS AUGMENTATION RESERVE (mid-life augmentation event)</t>
  </si>
  <si>
    <t xml:space="preserve">Augmentation Reserve Opening ($)</t>
  </si>
  <si>
    <t xml:space="preserve">Periodic Contribution ($)</t>
  </si>
  <si>
    <t xml:space="preserve">Augmentation Capex Drawn ($) [one-off, target period]</t>
  </si>
  <si>
    <t xml:space="preserve">Augmentation Shortfall (funded from distributable cash) ($)</t>
  </si>
  <si>
    <t xml:space="preserve">Augmentation Reserve Closing ($)</t>
  </si>
  <si>
    <t xml:space="preserve">OUTPUTS &amp; DASHBOARD — Equity Returns and Key Credit Metrics</t>
  </si>
  <si>
    <t xml:space="preserve">HEADLINE METRICS (feed Cover tiles — do not move these rows)</t>
  </si>
  <si>
    <t xml:space="preserve">Equity IRR</t>
  </si>
  <si>
    <t xml:space="preserve">Equity NPV @ Discount Rate ($)</t>
  </si>
  <si>
    <t xml:space="preserve">Equity Multiple (x)</t>
  </si>
  <si>
    <t xml:space="preserve">Minimum DSCR (x)</t>
  </si>
  <si>
    <t xml:space="preserve">Average DSCR (x)</t>
  </si>
  <si>
    <t xml:space="preserve">Actual Gearing (%)</t>
  </si>
  <si>
    <t xml:space="preserve">Total Project Cost ($)</t>
  </si>
  <si>
    <t xml:space="preserve">EQUITY CASH FLOW (Construction monthly outflows -&gt; Operating semi-annual distributions)</t>
  </si>
  <si>
    <t xml:space="preserve">Date</t>
  </si>
  <si>
    <t xml:space="preserve">Equity Cash Flow ($)</t>
  </si>
  <si>
    <t xml:space="preserve">Equity Discount Rate (link)</t>
  </si>
  <si>
    <t xml:space="preserve">SENSITIVITIES &amp; SCENARIOS</t>
  </si>
  <si>
    <t xml:space="preserve">SCENARIO COMPARISON (live — set Cover!B7 to each case and this table updates)</t>
  </si>
  <si>
    <t xml:space="preserve">Metric</t>
  </si>
  <si>
    <t xml:space="preserve">Current Active Scenario</t>
  </si>
  <si>
    <t xml:space="preserve">Equity NPV @12% ($)</t>
  </si>
  <si>
    <t xml:space="preserve">Min DSCR (x)</t>
  </si>
  <si>
    <t xml:space="preserve">Note: to capture all three cases simultaneously, set Cover!B7 to Base/Best/Worst in turn and</t>
  </si>
  <si>
    <t xml:space="preserve">record the values above (or use Excel Scenario Manager / a data table keyed to Cover!B7).</t>
  </si>
  <si>
    <t xml:space="preserve">ONE-WAY SENSITIVITY — Equity IRR vs. Interest Rate Shock (Active Scenario baseline)</t>
  </si>
  <si>
    <t xml:space="preserve">Interest Rate Shock</t>
  </si>
  <si>
    <t xml:space="preserve">Approx. Equity IRR Impact*</t>
  </si>
  <si>
    <t xml:space="preserve">*Indicative approximation: IRR impact ≈ Actual Gearing × 0.9 × Rate Shock. For precision, set</t>
  </si>
  <si>
    <t xml:space="preserve">Assumptions!D40/E40 (Best/Worst rate) directly and switch the scenario selector.</t>
  </si>
  <si>
    <t xml:space="preserve">ONE-WAY SENSITIVITY — Equity IRR vs. Capex Shock (Active Scenario baseline)</t>
  </si>
  <si>
    <t xml:space="preserve">Capex Shock (%)</t>
  </si>
  <si>
    <t xml:space="preserve">*Indicative approximation: since equity absorbs ~64% of capex at Base Case gearing, a capex shock</t>
  </si>
  <si>
    <t xml:space="preserve">translates roughly 1.6x into equity IRR (elasticity approximation, documented).</t>
  </si>
  <si>
    <t xml:space="preserve">For precise (non-approximated) sensitivities: overwrite the relevant Base-case cell(s) on the</t>
  </si>
  <si>
    <t xml:space="preserve">Assumptions sheet directly and read the updated Outputs &amp; Dashboard metrics — the entire model recalculates live.</t>
  </si>
  <si>
    <t xml:space="preserve">CHECKS / AUDIT — Lender-Style Model Integrity Checks</t>
  </si>
  <si>
    <t xml:space="preserve">Check</t>
  </si>
  <si>
    <t xml:space="preserve">Result</t>
  </si>
  <si>
    <t xml:space="preserve">Detail</t>
  </si>
  <si>
    <t xml:space="preserve">Sources = Uses (Construction)</t>
  </si>
  <si>
    <t xml:space="preserve">Total Uses must equal Total Sources at COD</t>
  </si>
  <si>
    <t xml:space="preserve">Debt fully repaid by maturity</t>
  </si>
  <si>
    <t xml:space="preserve">Closing balance in final operating period (P30) = 0</t>
  </si>
  <si>
    <t xml:space="preserve">Minimum DSCR &gt;= Target (1.35x)</t>
  </si>
  <si>
    <t xml:space="preserve">Every period DSCR checked against Assumptions target</t>
  </si>
  <si>
    <t xml:space="preserve">No negative distributable cash</t>
  </si>
  <si>
    <t xml:space="preserve">Cash Available for Distribution &gt;= 0 in every period</t>
  </si>
  <si>
    <t xml:space="preserve">Circularity converged (breaker engaged)</t>
  </si>
  <si>
    <t xml:space="preserve">Tax calculated pre-interest-deduction to keep the model fully non-circular without requiring Excel iterative calculation</t>
  </si>
  <si>
    <t xml:space="preserve">Timing consistency: COD = Construction Start + 24mo</t>
  </si>
  <si>
    <t xml:space="preserve">Confirms the 24-month construction period lands exactly on the 1-Jul-2028 target COD</t>
  </si>
  <si>
    <t xml:space="preserve">Debt tenor = 15 years (30 semi-annual periods)</t>
  </si>
  <si>
    <t xml:space="preserve">30 periods x 6 months spans the 15-year tenor</t>
  </si>
  <si>
    <t xml:space="preserve">Actual gearing vs 65% target</t>
  </si>
  <si>
    <t xml:space="preserve">FYI — see note below; DSCR sculpting is the binding constraint at Base Case, not the 65% gearing cap</t>
  </si>
  <si>
    <t xml:space="preserve">Scenario switcher live (Cover -&gt; Assumptions -&gt; all sheets)</t>
  </si>
  <si>
    <t xml:space="preserve">Assumptions!Active columns key off Cover!B7 via INDEX/MATCH; every calc sheet reads only the Active column</t>
  </si>
  <si>
    <t xml:space="preserve">No hidden hard-coded values in calc sheets</t>
  </si>
  <si>
    <t xml:space="preserve">All economic inputs live on Assumptions (blue font); calc sheets contain formulas only, with modelling-convention constants (e.g. day-count, S-curve shape) documented inline</t>
  </si>
  <si>
    <t xml:space="preserve">MASTER STATUS</t>
  </si>
  <si>
    <t xml:space="preserve">NOTES ON MODEL DESIGN &amp; KEY FINDINGS</t>
  </si>
  <si>
    <t xml:space="preserve">1. Modelling constants disclosed here (not scenario-driven, but documented): semi-annual period length = 182.625 days; construction S-curve is a formula-driven parabola t*(25-t) normalised to 100% (not a hardcoded profile); BESS cycled-share of generation = 30%; BESS augmentation = 20% of RE capex at operating period 16 (~Year 8); Energy Charge ($0.155/kWh) and Grid Backup Price ($0.14-0.16/kWh) were set by the modeller (not specified in the brief) at a level consistent with the brief's instruction to price energy at "renewable supply cost plus margin" — these are Assumptions-sheet inputs and should be replaced with contracted/quoted figures when available.</t>
  </si>
  <si>
    <t xml:space="preserve">2. CIRCULARITY: True lender models make cash tax circular (interest is tax-deductible, which affects CFADS, which affects debt sizing, which affects interest). This model uses a Circularity Breaker (Assumptions, "Circularity Breaker" row, default = 1 / ON) so it calculates reliably without requiring Excel's iterative-calculation setting. With the breaker ON, tax is calculated on EBITDA less tax depreciation only (interest is not tax-deductible in the model). To run the fully circular, interest-tax-shielded version: set the breaker to 0, enable File &gt; Options &gt; Formulas &gt; Enable Iterative Calculation in Excel, and update the tax formula on the Debt &amp; Financing sheet to deduct interest.</t>
  </si>
  <si>
    <t xml:space="preserve">3. KEY FINDING — BASE CASE ECONOMICS: Under the Base Case, DSCR-based debt sculpting (not the 65% gearing target) is the binding constraint — CFADS supports only ~36% actual gearing at a 1.35x minimum DSCR, well below the 65% target. This pushes a much larger share of the $508m Total Project Cost onto equity, and combined with the renewable system's modest self-sufficiency (~35-59%, since a 60 MWh / 4-hour BESS cannot firm a 90 MWp solar array against a continuous 24/7, 40 MW IT load), Base Case equity IRR is negative. This is a genuine output of the assumptions as specified, not a modelling error — see Sensitivities &amp; Scenarios and Outputs &amp; Dashboard. Levers most likely to restore bankability: a higher energy/capacity charge, a larger BESS (more hours of storage), additional firm capacity (grid PPA or gas peaker) to reduce the grid-backup cost drag, or lower capex.</t>
  </si>
  <si>
    <t xml:space="preserve">4. WATERFALL PRIORITY (confirmed correct): Revenue -&gt; Operating Costs -&gt; EBITDA -&gt; Cash Tax -&gt; CFADS -&gt; Senior Debt Service -&gt; DSRA funding/release -&gt; BESS Augmentation Reserve contribution/shortfall -&gt; Cash Available for Distribution -&gt; Equity Distribution. This matches standard project-finance priority of payments.</t>
  </si>
  <si>
    <t xml:space="preserve">5. DUAL-ASSET (DATA CENTRE + RENEWABLE) LOGIC (confirmed correct): the Operations sheet integrates both assets every period — renewable generation nets against BESS round-trip losses to produce Net Renewable Supply; this is compared to Data Centre facility demand (IT load x PUE) to derive self-sufficiency %, grid shortfall (MWh) and the associated grid backup cost. Capex, O&amp;M, and tax depreciation are tracked separately by asset (Data Centre vs Renewable) throughout Construction and Debt &amp; Financing.</t>
  </si>
  <si>
    <t xml:space="preserve">6. LIVE SCENARIO SWITCHER (confirmed correct): a single input cell (Cover!B7, data-validated to Base/Best/Worst) drives every Assumptions!Active-column formula via INDEX/MATCH; every calculation sheet in the model references only the Active column, so switching Cover!B7 recalculates the entire model — generation, revenue, debt sculpting, ratios and returns — with no duplicated logic.</t>
  </si>
  <si>
    <t xml:space="preserve">APPENDIX — GLOSSARY &amp; DEFINITIONS</t>
  </si>
  <si>
    <t xml:space="preserve">A. TECHNICAL / MODELLING TERMS</t>
  </si>
  <si>
    <t xml:space="preserve">CFADS</t>
  </si>
  <si>
    <t xml:space="preserve">Cash Flow Available for Debt Service — cash generated by the project before debt service, calculated here as EBITDA less cash tax.</t>
  </si>
  <si>
    <t xml:space="preserve">DSCR</t>
  </si>
  <si>
    <t xml:space="preserve">Debt Service Coverage Ratio — CFADS divided by total debt service (interest + principal) in a period. This model sculpts principal repayments so DSCR equals the 1.35x target in every period.</t>
  </si>
  <si>
    <t xml:space="preserve">LLCR</t>
  </si>
  <si>
    <t xml:space="preserve">Loan Life Coverage Ratio — the present value of CFADS over the remaining debt tenor, divided by the outstanding debt balance. Indicates coverage across the whole loan life rather than a single period.</t>
  </si>
  <si>
    <t xml:space="preserve">PLCR</t>
  </si>
  <si>
    <t xml:space="preserve">Project Life Coverage Ratio — the present value of CFADS over the remaining project/contract life, divided by outstanding debt. Broader than LLCR as it extends beyond the debt tenor.</t>
  </si>
  <si>
    <t xml:space="preserve">IDC</t>
  </si>
  <si>
    <t xml:space="preserve">Interest During Construction — interest accrued on drawn debt before COD, capitalised into the project cost rather than paid in cash.</t>
  </si>
  <si>
    <t xml:space="preserve">DSRA</t>
  </si>
  <si>
    <t xml:space="preserve">Debt Service Reserve Account — a cash reserve (here, 6 months forward debt service) held to cover a shortfall in debt service if CFADS is temporarily insufficient.</t>
  </si>
  <si>
    <t xml:space="preserve">Debt Sculpting</t>
  </si>
  <si>
    <t xml:space="preserve">Structuring principal repayments so debt service tracks available cash flow (rather than a flat annuity), maximising debt capacity while holding DSCR at the target level throughout.</t>
  </si>
  <si>
    <t xml:space="preserve">PUE</t>
  </si>
  <si>
    <t xml:space="preserve">Power Usage Effectiveness — total facility power divided by IT equipment power. A PUE of 1.25 means 1.25 kW is drawn from the grid/on-site generation for every 1 kW delivered to IT load.</t>
  </si>
  <si>
    <t xml:space="preserve">IT Load / IT Capacity</t>
  </si>
  <si>
    <t xml:space="preserve">The power capacity available to run servers and IT equipment, excluding cooling and other facility overhead (measured separately from total facility power via PUE).</t>
  </si>
  <si>
    <t xml:space="preserve">Utilisation</t>
  </si>
  <si>
    <t xml:space="preserve">The share of contracted/available IT capacity actually in use by customers in a given period; ramps from 55% (Year 1) to 90% (Year 3+) in the Base Case.</t>
  </si>
  <si>
    <t xml:space="preserve">Specific Yield</t>
  </si>
  <si>
    <t xml:space="preserve">Annual energy generated per unit of installed solar capacity (kWh/kWp/year) — a measure of solar resource quality and system efficiency at the site.</t>
  </si>
  <si>
    <t xml:space="preserve">The percentage of energy retrieved from a battery relative to the energy used to charge it; the balance is lost as heat/conversion losses across a charge-discharge cycle.</t>
  </si>
  <si>
    <t xml:space="preserve">Circularity</t>
  </si>
  <si>
    <t xml:space="preserve">A situation where a formula depends (directly or indirectly) on its own output — e.g., interest expense affecting tax, which affects cash flow, which affects debt sizing, which affects interest. This model uses a circularity breaker to avoid it (see Checks-Audit).</t>
  </si>
  <si>
    <t xml:space="preserve">Gearing</t>
  </si>
  <si>
    <t xml:space="preserve">The proportion of total project cost funded by debt (as opposed to equity); expressed as Debt / (Debt + Equity) or Debt / Total Project Cost.</t>
  </si>
  <si>
    <t xml:space="preserve">Degradation</t>
  </si>
  <si>
    <t xml:space="preserve">The gradual decline in solar panel output over time, typically ~0.5% per year, due to material and environmental wear.</t>
  </si>
  <si>
    <t xml:space="preserve">Generation that is not exported/used because it exceeds inverter, grid, or off-take capacity at that moment; modelled as a flat % haircut to gross generation.</t>
  </si>
  <si>
    <t xml:space="preserve">S-Curve (Capex Drawdown)</t>
  </si>
  <si>
    <t xml:space="preserve">A non-linear spend profile over the construction period — slow at the start and end, faster in the middle — reflecting typical mobilisation, peak construction, and commissioning phases.</t>
  </si>
  <si>
    <t xml:space="preserve">B. NON-TECHNICAL / COMMERCIAL TERMS</t>
  </si>
  <si>
    <t xml:space="preserve">Take-or-Pay</t>
  </si>
  <si>
    <t xml:space="preserve">A contract structure where the customer commits to pay for contracted capacity whether or not they actually use it — provides revenue certainty to the project (85% of IT capacity here).</t>
  </si>
  <si>
    <t xml:space="preserve">Capacity Charge</t>
  </si>
  <si>
    <t xml:space="preserve">A fixed monthly fee per kW of contracted data centre capacity, charged regardless of actual power draw — analogous to a reservation fee.</t>
  </si>
  <si>
    <t xml:space="preserve">Hyperscale</t>
  </si>
  <si>
    <t xml:space="preserve">Very large-scale cloud/data centre operators (e.g. major cloud providers) whose facilities and demand requirements are designed to scale rapidly to very large capacities.</t>
  </si>
  <si>
    <t xml:space="preserve">Colocation</t>
  </si>
  <si>
    <t xml:space="preserve">A data centre model where a facility owner rents rack space, power, and cooling to multiple customers, as distinct from a single-tenant or hyperscale-dedicated facility.</t>
  </si>
  <si>
    <t xml:space="preserve">Behind-the-Meter</t>
  </si>
  <si>
    <t xml:space="preserve">On-site power generation that supplies a facility directly, without passing through the public grid meter — the dedicated solar+BESS system here supplies the data centre directly.</t>
  </si>
  <si>
    <t xml:space="preserve">Commercial Operation Date — the date the project is deemed complete and begins commercial operations (targeted 1 July 2028 here), marking the transition from construction to operations.</t>
  </si>
  <si>
    <t xml:space="preserve">SPV</t>
  </si>
  <si>
    <t xml:space="preserve">Special Purpose Vehicle — a standalone legal entity created to own, finance, and operate the project, isolating project risk from its sponsors.</t>
  </si>
  <si>
    <t xml:space="preserve">Limited Recourse</t>
  </si>
  <si>
    <t xml:space="preserve">A financing structure where lenders can only claim against the project's assets and cash flows (via the SPV), not the sponsors' broader balance sheet, in the event of default.</t>
  </si>
  <si>
    <t xml:space="preserve">Debt that ranks first in priority of repayment ahead of other capital (e.g. subordinated debt or equity) — the debt sculpted in this model.</t>
  </si>
  <si>
    <t xml:space="preserve">Internal Rate of Return to equity investors — the discount rate at which the net present value of all equity cash flows (investment out, distributions in) equals zero.</t>
  </si>
  <si>
    <t xml:space="preserve">Equity Multiple</t>
  </si>
  <si>
    <t xml:space="preserve">Total cash distributed to equity divided by total equity invested, over the life of the investment — a simple (non-time-weighted) measure of return.</t>
  </si>
  <si>
    <t xml:space="preserve">Sources &amp; Uses</t>
  </si>
  <si>
    <t xml:space="preserve">A summary table reconciling how much money is needed for the project (Uses: capex, IDC, fees, reserves) against where it comes from (Sources: debt, equity).</t>
  </si>
  <si>
    <t xml:space="preserve">Offtake / Offtaker</t>
  </si>
  <si>
    <t xml:space="preserve">The contractual arrangement (and counterparty) committing to purchase the project's output/capacity — here, data centre customers under 15-year contracts.</t>
  </si>
  <si>
    <t xml:space="preserve">A one-off fee paid to lenders (as a % of the facility amount) at financial close, in addition to the ongoing interest rate.</t>
  </si>
  <si>
    <t xml:space="preserve">Investment Grade Counterparty</t>
  </si>
  <si>
    <t xml:space="preserve">A customer or counterparty rated at a credit quality considered low-risk by rating agencies, reducing offtake/counterparty risk for lenders.</t>
  </si>
  <si>
    <t xml:space="preserve">CHARTS — Revenue Build, DSCR Profile, Generation Mix, Equity Cash Flow</t>
  </si>
</sst>
</file>

<file path=xl/styles.xml><?xml version="1.0" encoding="utf-8"?>
<styleSheet xmlns="http://schemas.openxmlformats.org/spreadsheetml/2006/main">
  <numFmts count="15">
    <numFmt numFmtId="164" formatCode="General"/>
    <numFmt numFmtId="165" formatCode="0.0%"/>
    <numFmt numFmtId="166" formatCode="\$#,##0.0,,\m;&quot;($&quot;#,##0.0,,&quot;m)&quot;;\-"/>
    <numFmt numFmtId="167" formatCode="0.00\x"/>
    <numFmt numFmtId="168" formatCode="dd\-mmm\-yy"/>
    <numFmt numFmtId="169" formatCode="#,##0;\(#,##0\);\-"/>
    <numFmt numFmtId="170" formatCode="0.00"/>
    <numFmt numFmtId="171" formatCode="\$#,##0.00;&quot;($&quot;#,##0.00\);\-"/>
    <numFmt numFmtId="172" formatCode="\$#,##0.000"/>
    <numFmt numFmtId="173" formatCode="0.00%"/>
    <numFmt numFmtId="174" formatCode="\$#,##0.0000"/>
    <numFmt numFmtId="175" formatCode="\$#,##0.0"/>
    <numFmt numFmtId="176" formatCode="0.0000"/>
    <numFmt numFmtId="177" formatCode="\$#,##0;&quot;($&quot;#,##0\);\-"/>
    <numFmt numFmtId="178" formatCode="#,##0.00;\(#,##0.00\);\-"/>
  </numFmts>
  <fonts count="3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rgb="FF1B5E20"/>
      <name val="Times New Roman"/>
      <family val="0"/>
      <charset val="1"/>
    </font>
    <font>
      <i val="true"/>
      <sz val="12"/>
      <color rgb="FF4A7C6F"/>
      <name val="Times New Roman"/>
      <family val="0"/>
      <charset val="1"/>
    </font>
    <font>
      <i val="true"/>
      <sz val="10"/>
      <color rgb="FF5A6B5D"/>
      <name val="Times New Roman"/>
      <family val="0"/>
      <charset val="1"/>
    </font>
    <font>
      <b val="true"/>
      <sz val="11"/>
      <color rgb="FFFFFFFF"/>
      <name val="Times New Roman"/>
      <family val="0"/>
      <charset val="1"/>
    </font>
    <font>
      <b val="true"/>
      <sz val="10"/>
      <color rgb="FFFFFFFF"/>
      <name val="Times New Roman"/>
      <family val="0"/>
      <charset val="1"/>
    </font>
    <font>
      <b val="true"/>
      <sz val="16"/>
      <color rgb="FF1B5E20"/>
      <name val="Times New Roman"/>
      <family val="0"/>
      <charset val="1"/>
    </font>
    <font>
      <i val="true"/>
      <sz val="8"/>
      <color rgb="FF5A6B5D"/>
      <name val="Times New Roman"/>
      <family val="0"/>
      <charset val="1"/>
    </font>
    <font>
      <b val="true"/>
      <i val="true"/>
      <sz val="12"/>
      <color rgb="FF228B22"/>
      <name val="Times New Roman"/>
      <family val="0"/>
      <charset val="1"/>
    </font>
    <font>
      <b val="true"/>
      <sz val="9"/>
      <color rgb="FFFFFFFF"/>
      <name val="Times New Roman"/>
      <family val="0"/>
      <charset val="1"/>
    </font>
    <font>
      <b val="true"/>
      <sz val="14"/>
      <color rgb="FF1B5E20"/>
      <name val="Times New Roman"/>
      <family val="0"/>
      <charset val="1"/>
    </font>
    <font>
      <sz val="10"/>
      <color rgb="FF000000"/>
      <name val="Times New Roman"/>
      <family val="0"/>
      <charset val="1"/>
    </font>
    <font>
      <b val="true"/>
      <sz val="10"/>
      <color rgb="FF1B5E20"/>
      <name val="Times New Roman"/>
      <family val="0"/>
      <charset val="1"/>
    </font>
    <font>
      <i val="true"/>
      <sz val="9"/>
      <color rgb="FF5A6B5D"/>
      <name val="Times New Roman"/>
      <family val="0"/>
      <charset val="1"/>
    </font>
    <font>
      <b val="true"/>
      <sz val="11"/>
      <color rgb="FF000000"/>
      <name val="Times New Roman"/>
      <family val="0"/>
      <charset val="1"/>
    </font>
    <font>
      <b val="true"/>
      <sz val="12"/>
      <color rgb="FF1B5E20"/>
      <name val="Times New Roman"/>
      <family val="0"/>
      <charset val="1"/>
    </font>
    <font>
      <sz val="10"/>
      <color rgb="FF0000FF"/>
      <name val="Times New Roman"/>
      <family val="0"/>
      <charset val="1"/>
    </font>
    <font>
      <b val="true"/>
      <sz val="13"/>
      <color rgb="FF1B5E20"/>
      <name val="Times New Roman"/>
      <family val="0"/>
      <charset val="1"/>
    </font>
    <font>
      <b val="true"/>
      <sz val="9"/>
      <color rgb="FF000000"/>
      <name val="Times New Roman"/>
      <family val="0"/>
      <charset val="1"/>
    </font>
    <font>
      <sz val="9"/>
      <color rgb="FF000000"/>
      <name val="Times New Roman"/>
      <family val="0"/>
      <charset val="1"/>
    </font>
    <font>
      <sz val="10"/>
      <color rgb="FF006400"/>
      <name val="Times New Roman"/>
      <family val="0"/>
      <charset val="1"/>
    </font>
    <font>
      <b val="true"/>
      <sz val="10"/>
      <color rgb="FF000000"/>
      <name val="Times New Roman"/>
      <family val="0"/>
      <charset val="1"/>
    </font>
    <font>
      <sz val="9"/>
      <color rgb="FF006400"/>
      <name val="Times New Roman"/>
      <family val="0"/>
      <charset val="1"/>
    </font>
    <font>
      <b val="true"/>
      <sz val="11"/>
      <color rgb="FF1B5E20"/>
      <name val="Times New Roman"/>
      <family val="0"/>
      <charset val="1"/>
    </font>
    <font>
      <b val="true"/>
      <sz val="9"/>
      <color rgb="FF1B5E20"/>
      <name val="Times New Roman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228B22"/>
        <bgColor rgb="FF1B5E20"/>
      </patternFill>
    </fill>
    <fill>
      <patternFill patternType="solid">
        <fgColor rgb="FFE8F5E9"/>
        <bgColor rgb="FFF9F9F9"/>
      </patternFill>
    </fill>
    <fill>
      <patternFill patternType="solid">
        <fgColor rgb="FF4A7C6F"/>
        <bgColor rgb="FF368093"/>
      </patternFill>
    </fill>
    <fill>
      <patternFill patternType="solid">
        <fgColor rgb="FFDCEDC8"/>
        <bgColor rgb="FFDAE4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A9C9A0"/>
      </left>
      <right style="thin">
        <color rgb="FFA9C9A0"/>
      </right>
      <top style="thin">
        <color rgb="FFA9C9A0"/>
      </top>
      <bottom style="thin">
        <color rgb="FFA9C9A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1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2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3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3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3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3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8" fillId="4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19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15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70" fontId="19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15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9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5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1" fontId="19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1" fontId="15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2" fontId="19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2" fontId="15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3" fontId="19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3" fontId="15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4" fontId="19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4" fontId="15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5" fontId="19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5" fontId="15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19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15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19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15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1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2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2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2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6" fontId="2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7" fontId="2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7" fontId="15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3" fontId="2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7" fontId="2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7" fontId="21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7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2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8" fontId="2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21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7" fontId="24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7" fontId="2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7" fontId="15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3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77" fontId="2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7" fontId="26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77" fontId="27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2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7" fontId="24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2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6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26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7" fontId="26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26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26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2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2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2" fillId="2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5" fontId="2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4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4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5" fontId="24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0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2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27637"/>
      <rgbColor rgb="FF91AF53"/>
      <rgbColor rgb="FF0000FF"/>
      <rgbColor rgb="FFCCDAB7"/>
      <rgbColor rgb="FFCA7E7D"/>
      <rgbColor rgb="FFB5D4E0"/>
      <rgbColor rgb="FFAC6830"/>
      <rgbColor rgb="FF006400"/>
      <rgbColor rgb="FFE6CACA"/>
      <rgbColor rgb="FF738B41"/>
      <rgbColor rgb="FFB34A48"/>
      <rgbColor rgb="FF228B22"/>
      <rgbColor rgb="FFC2BACF"/>
      <rgbColor rgb="FF878787"/>
      <rgbColor rgb="FFB0A4C2"/>
      <rgbColor rgb="FF8F3A37"/>
      <rgbColor rgb="FFF9F9F9"/>
      <rgbColor rgb="FFE8F5E9"/>
      <rgbColor rgb="FFB5C3DB"/>
      <rgbColor rgb="FFE78C41"/>
      <rgbColor rgb="FF406A9C"/>
      <rgbColor rgb="FFCAD3E5"/>
      <rgbColor rgb="FFD9D9D9"/>
      <rgbColor rgb="FFF9BB9A"/>
      <rgbColor rgb="FFFBD8C9"/>
      <rgbColor rgb="FFA9C9A0"/>
      <rgbColor rgb="FFC0504D"/>
      <rgbColor rgb="FFBED0A0"/>
      <rgbColor rgb="FF4A7C6F"/>
      <rgbColor rgb="FFD3CDDC"/>
      <rgbColor rgb="FF8DB5D1"/>
      <rgbColor rgb="FFCADFE8"/>
      <rgbColor rgb="FFDCEDC8"/>
      <rgbColor rgb="FFDAE4CC"/>
      <rgbColor rgb="FF9CC7D7"/>
      <rgbColor rgb="FFD49D9C"/>
      <rgbColor rgb="FFDDB5B5"/>
      <rgbColor rgb="FFFACAB4"/>
      <rgbColor rgb="FF4C7DB7"/>
      <rgbColor rgb="FF46A1BC"/>
      <rgbColor rgb="FF9BBB59"/>
      <rgbColor rgb="FFF8AA7A"/>
      <rgbColor rgb="FFF79646"/>
      <rgbColor rgb="FFD6823C"/>
      <rgbColor rgb="FF775D97"/>
      <rgbColor rgb="FF8C92C0"/>
      <rgbColor rgb="FF86A24D"/>
      <rgbColor rgb="FF368093"/>
      <rgbColor rgb="FFADC683"/>
      <rgbColor rgb="FF5A6B5D"/>
      <rgbColor rgb="FFA0522D"/>
      <rgbColor rgb="FFA64542"/>
      <rgbColor rgb="FF5F4A78"/>
      <rgbColor rgb="FF1B5E2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Data Centre Revenue &amp; EBITDA by Period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Operations!B26</c:f>
              <c:strCache>
                <c:ptCount val="1"/>
                <c:pt idx="0">
                  <c:v>TOTAL DATA CENTRE REVENUE ($)</c:v>
                </c:pt>
              </c:strCache>
            </c:strRef>
          </c:tx>
          <c:spPr>
            <a:solidFill>
              <a:srgbClr val="228b22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Operations!$C$4:$AF$4</c:f>
              <c:strCache>
                <c:ptCount val="3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</c:strCache>
            </c:strRef>
          </c:cat>
          <c:val>
            <c:numRef>
              <c:f>Operations!$C$26:$AF$26</c:f>
              <c:numCache>
                <c:formatCode>\$#,##0;"($"#,##0\);\-</c:formatCode>
                <c:ptCount val="30"/>
                <c:pt idx="0">
                  <c:v>22822837.5</c:v>
                </c:pt>
                <c:pt idx="1">
                  <c:v>23074413.1409681</c:v>
                </c:pt>
                <c:pt idx="2">
                  <c:v>30403727.7602503</c:v>
                </c:pt>
                <c:pt idx="3">
                  <c:v>30738867.3895408</c:v>
                </c:pt>
                <c:pt idx="4">
                  <c:v>36498223.3021899</c:v>
                </c:pt>
                <c:pt idx="5">
                  <c:v>36900542.4231777</c:v>
                </c:pt>
                <c:pt idx="6">
                  <c:v>37300628.6204723</c:v>
                </c:pt>
                <c:pt idx="7">
                  <c:v>37711792.6378172</c:v>
                </c:pt>
                <c:pt idx="8">
                  <c:v>38122945.9278213</c:v>
                </c:pt>
                <c:pt idx="9">
                  <c:v>38543174.3309454</c:v>
                </c:pt>
                <c:pt idx="10">
                  <c:v>38961070.4115202</c:v>
                </c:pt>
                <c:pt idx="11">
                  <c:v>39390537.4425843</c:v>
                </c:pt>
                <c:pt idx="12">
                  <c:v>39817620.8755069</c:v>
                </c:pt>
                <c:pt idx="13">
                  <c:v>40256529.6436906</c:v>
                </c:pt>
                <c:pt idx="14">
                  <c:v>40693002.4108579</c:v>
                </c:pt>
                <c:pt idx="15">
                  <c:v>41141560.490651</c:v>
                </c:pt>
                <c:pt idx="16">
                  <c:v>41590106.8674858</c:v>
                </c:pt>
                <c:pt idx="17">
                  <c:v>42048553.7101766</c:v>
                </c:pt>
                <c:pt idx="18">
                  <c:v>42504456.1129846</c:v>
                </c:pt>
                <c:pt idx="19">
                  <c:v>42972981.8075055</c:v>
                </c:pt>
                <c:pt idx="20">
                  <c:v>43438907.1231989</c:v>
                </c:pt>
                <c:pt idx="21">
                  <c:v>43917733.2508648</c:v>
                </c:pt>
                <c:pt idx="22">
                  <c:v>44393901.8309532</c:v>
                </c:pt>
                <c:pt idx="23">
                  <c:v>44883254.844495</c:v>
                </c:pt>
                <c:pt idx="24">
                  <c:v>45372595.0907315</c:v>
                </c:pt>
                <c:pt idx="25">
                  <c:v>45872736.2187722</c:v>
                </c:pt>
                <c:pt idx="26">
                  <c:v>46370101.4981979</c:v>
                </c:pt>
                <c:pt idx="27">
                  <c:v>46881238.117655</c:v>
                </c:pt>
                <c:pt idx="28">
                  <c:v>47389537.862083</c:v>
                </c:pt>
                <c:pt idx="29">
                  <c:v>47911911.7063886</c:v>
                </c:pt>
              </c:numCache>
            </c:numRef>
          </c:val>
        </c:ser>
        <c:ser>
          <c:idx val="1"/>
          <c:order val="1"/>
          <c:tx>
            <c:strRef>
              <c:f>Operations!B36</c:f>
              <c:strCache>
                <c:ptCount val="1"/>
                <c:pt idx="0">
                  <c:v>EBITDA ($)</c:v>
                </c:pt>
              </c:strCache>
            </c:strRef>
          </c:tx>
          <c:spPr>
            <a:solidFill>
              <a:srgbClr val="4a7c6f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Operations!$C$4:$AF$4</c:f>
              <c:strCache>
                <c:ptCount val="3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</c:strCache>
            </c:strRef>
          </c:cat>
          <c:val>
            <c:numRef>
              <c:f>Operations!$C$36:$AF$36</c:f>
              <c:numCache>
                <c:formatCode>\$#,##0;"($"#,##0\);\-</c:formatCode>
                <c:ptCount val="30"/>
                <c:pt idx="0">
                  <c:v>11321773.1</c:v>
                </c:pt>
                <c:pt idx="1">
                  <c:v>11421181.0617476</c:v>
                </c:pt>
                <c:pt idx="2">
                  <c:v>12327859.6664975</c:v>
                </c:pt>
                <c:pt idx="3">
                  <c:v>12437929.1288168</c:v>
                </c:pt>
                <c:pt idx="4">
                  <c:v>13166521.7598253</c:v>
                </c:pt>
                <c:pt idx="5">
                  <c:v>13285399.9728457</c:v>
                </c:pt>
                <c:pt idx="6">
                  <c:v>13403401.3569779</c:v>
                </c:pt>
                <c:pt idx="7">
                  <c:v>13524447.5297062</c:v>
                </c:pt>
                <c:pt idx="8">
                  <c:v>13645268.0065965</c:v>
                </c:pt>
                <c:pt idx="9">
                  <c:v>13768528.3863989</c:v>
                </c:pt>
                <c:pt idx="10">
                  <c:v>13890880.2170671</c:v>
                </c:pt>
                <c:pt idx="11">
                  <c:v>14016389.7091471</c:v>
                </c:pt>
                <c:pt idx="12">
                  <c:v>14140974.3810857</c:v>
                </c:pt>
                <c:pt idx="13">
                  <c:v>14268774.6551532</c:v>
                </c:pt>
                <c:pt idx="14">
                  <c:v>14395633.5428623</c:v>
                </c:pt>
                <c:pt idx="15">
                  <c:v>14525767.0534714</c:v>
                </c:pt>
                <c:pt idx="16">
                  <c:v>14655659.2112939</c:v>
                </c:pt>
                <c:pt idx="17">
                  <c:v>14788175.7839759</c:v>
                </c:pt>
                <c:pt idx="18">
                  <c:v>14919716.8829187</c:v>
                </c:pt>
                <c:pt idx="19">
                  <c:v>15054654.1381074</c:v>
                </c:pt>
                <c:pt idx="20">
                  <c:v>15188598.4338287</c:v>
                </c:pt>
                <c:pt idx="21">
                  <c:v>15326001.2743244</c:v>
                </c:pt>
                <c:pt idx="22">
                  <c:v>15462393.3520401</c:v>
                </c:pt>
                <c:pt idx="23">
                  <c:v>15602307.5274713</c:v>
                </c:pt>
                <c:pt idx="24">
                  <c:v>15741963.6066211</c:v>
                </c:pt>
                <c:pt idx="25">
                  <c:v>15884442.8025998</c:v>
                </c:pt>
                <c:pt idx="26">
                  <c:v>16025874.6018727</c:v>
                </c:pt>
                <c:pt idx="27">
                  <c:v>16170959.3691805</c:v>
                </c:pt>
                <c:pt idx="28">
                  <c:v>16314977.9472252</c:v>
                </c:pt>
                <c:pt idx="29">
                  <c:v>16462716.6772217</c:v>
                </c:pt>
              </c:numCache>
            </c:numRef>
          </c:val>
        </c:ser>
        <c:gapWidth val="150"/>
        <c:overlap val="0"/>
        <c:axId val="32477960"/>
        <c:axId val="92935491"/>
      </c:barChart>
      <c:catAx>
        <c:axId val="32477960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Operating Period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2935491"/>
        <c:crosses val="autoZero"/>
        <c:auto val="1"/>
        <c:lblAlgn val="ctr"/>
        <c:lblOffset val="100"/>
        <c:noMultiLvlLbl val="0"/>
      </c:catAx>
      <c:valAx>
        <c:axId val="9293549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USD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;&quot;($&quot;#,##0\);\-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2477960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DSCR Profile vs 1.35x Target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'Debt &amp; Financing'!B28</c:f>
              <c:strCache>
                <c:ptCount val="1"/>
                <c:pt idx="0">
                  <c:v>DSCR (CFADS / Debt Service)</c:v>
                </c:pt>
              </c:strCache>
            </c:strRef>
          </c:tx>
          <c:spPr>
            <a:solidFill>
              <a:srgbClr val="228b22"/>
            </a:solidFill>
            <a:ln w="24840">
              <a:solidFill>
                <a:srgbClr val="228b22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'Debt &amp; Financing'!$C$4:$AF$4</c:f>
              <c:strCache>
                <c:ptCount val="3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</c:strCache>
            </c:strRef>
          </c:cat>
          <c:val>
            <c:numRef>
              <c:f>'Debt &amp; Financing'!$C$28:$AF$28</c:f>
              <c:numCache>
                <c:formatCode>0.00\x</c:formatCode>
                <c:ptCount val="30"/>
                <c:pt idx="0">
                  <c:v>1.35</c:v>
                </c:pt>
                <c:pt idx="1">
                  <c:v>1.35</c:v>
                </c:pt>
                <c:pt idx="2">
                  <c:v>1.35</c:v>
                </c:pt>
                <c:pt idx="3">
                  <c:v>1.35</c:v>
                </c:pt>
                <c:pt idx="4">
                  <c:v>1.35</c:v>
                </c:pt>
                <c:pt idx="5">
                  <c:v>1.35</c:v>
                </c:pt>
                <c:pt idx="6">
                  <c:v>1.35</c:v>
                </c:pt>
                <c:pt idx="7">
                  <c:v>1.35</c:v>
                </c:pt>
                <c:pt idx="8">
                  <c:v>1.35</c:v>
                </c:pt>
                <c:pt idx="9">
                  <c:v>1.35</c:v>
                </c:pt>
                <c:pt idx="10">
                  <c:v>1.35</c:v>
                </c:pt>
                <c:pt idx="11">
                  <c:v>1.35</c:v>
                </c:pt>
                <c:pt idx="12">
                  <c:v>1.35</c:v>
                </c:pt>
                <c:pt idx="13">
                  <c:v>1.35</c:v>
                </c:pt>
                <c:pt idx="14">
                  <c:v>1.35</c:v>
                </c:pt>
                <c:pt idx="15">
                  <c:v>1.35</c:v>
                </c:pt>
                <c:pt idx="16">
                  <c:v>1.35</c:v>
                </c:pt>
                <c:pt idx="17">
                  <c:v>1.35</c:v>
                </c:pt>
                <c:pt idx="18">
                  <c:v>1.35</c:v>
                </c:pt>
                <c:pt idx="19">
                  <c:v>1.35</c:v>
                </c:pt>
                <c:pt idx="20">
                  <c:v>1.35</c:v>
                </c:pt>
                <c:pt idx="21">
                  <c:v>1.35</c:v>
                </c:pt>
                <c:pt idx="22">
                  <c:v>1.35</c:v>
                </c:pt>
                <c:pt idx="23">
                  <c:v>1.35</c:v>
                </c:pt>
                <c:pt idx="24">
                  <c:v>1.35</c:v>
                </c:pt>
                <c:pt idx="25">
                  <c:v>1.35</c:v>
                </c:pt>
                <c:pt idx="26">
                  <c:v>1.35</c:v>
                </c:pt>
                <c:pt idx="27">
                  <c:v>1.35</c:v>
                </c:pt>
                <c:pt idx="28">
                  <c:v>1.35</c:v>
                </c:pt>
                <c:pt idx="29">
                  <c:v>1.35000000000006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39602642"/>
        <c:axId val="89280636"/>
      </c:lineChart>
      <c:catAx>
        <c:axId val="3960264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9280636"/>
        <c:crosses val="autoZero"/>
        <c:auto val="1"/>
        <c:lblAlgn val="ctr"/>
        <c:lblOffset val="100"/>
        <c:noMultiLvlLbl val="0"/>
      </c:catAx>
      <c:valAx>
        <c:axId val="8928063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DSCR (x)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\x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9602642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Energy Supply Mix — Net Renewable vs Grid Shortfall (MWh)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stacked"/>
        <c:varyColors val="0"/>
        <c:ser>
          <c:idx val="0"/>
          <c:order val="0"/>
          <c:tx>
            <c:strRef>
              <c:f>Operations!B18</c:f>
              <c:strCache>
                <c:ptCount val="1"/>
                <c:pt idx="0">
                  <c:v>Net Renewable Supply to DC (MWh)</c:v>
                </c:pt>
              </c:strCache>
            </c:strRef>
          </c:tx>
          <c:spPr>
            <a:solidFill>
              <a:srgbClr val="228b22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Operations!$C$4:$AF$4</c:f>
              <c:strCache>
                <c:ptCount val="3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</c:strCache>
            </c:strRef>
          </c:cat>
          <c:val>
            <c:numRef>
              <c:f>Operations!$C$18:$AF$18</c:f>
              <c:numCache>
                <c:formatCode>#,##0;\(#,##0\);\-</c:formatCode>
                <c:ptCount val="30"/>
                <c:pt idx="0">
                  <c:v>71132.04</c:v>
                </c:pt>
                <c:pt idx="1">
                  <c:v>70952.6481701793</c:v>
                </c:pt>
                <c:pt idx="2">
                  <c:v>70776.622626949</c:v>
                </c:pt>
                <c:pt idx="3">
                  <c:v>70598.1271438787</c:v>
                </c:pt>
                <c:pt idx="4">
                  <c:v>70422.9811274574</c:v>
                </c:pt>
                <c:pt idx="5">
                  <c:v>70245.3775124636</c:v>
                </c:pt>
                <c:pt idx="6">
                  <c:v>70071.1066282199</c:v>
                </c:pt>
                <c:pt idx="7">
                  <c:v>69894.3904250069</c:v>
                </c:pt>
                <c:pt idx="8">
                  <c:v>69720.0334844375</c:v>
                </c:pt>
                <c:pt idx="9">
                  <c:v>69544.2026720226</c:v>
                </c:pt>
                <c:pt idx="10">
                  <c:v>69371.6713237281</c:v>
                </c:pt>
                <c:pt idx="11">
                  <c:v>69196.7190651329</c:v>
                </c:pt>
                <c:pt idx="12">
                  <c:v>69025.0497846012</c:v>
                </c:pt>
                <c:pt idx="13">
                  <c:v>68850.9716900558</c:v>
                </c:pt>
                <c:pt idx="14">
                  <c:v>68680.1601698909</c:v>
                </c:pt>
                <c:pt idx="15">
                  <c:v>68506.9518715593</c:v>
                </c:pt>
                <c:pt idx="16">
                  <c:v>68336.0560033297</c:v>
                </c:pt>
                <c:pt idx="17">
                  <c:v>68163.7155203467</c:v>
                </c:pt>
                <c:pt idx="18">
                  <c:v>67994.6090054737</c:v>
                </c:pt>
                <c:pt idx="19">
                  <c:v>67823.1296365785</c:v>
                </c:pt>
                <c:pt idx="20">
                  <c:v>67654.8680769926</c:v>
                </c:pt>
                <c:pt idx="21">
                  <c:v>67484.2455195542</c:v>
                </c:pt>
                <c:pt idx="22">
                  <c:v>67316.8246933636</c:v>
                </c:pt>
                <c:pt idx="23">
                  <c:v>67147.0546662497</c:v>
                </c:pt>
                <c:pt idx="24">
                  <c:v>66979.5511663456</c:v>
                </c:pt>
                <c:pt idx="25">
                  <c:v>66810.6317280124</c:v>
                </c:pt>
                <c:pt idx="26">
                  <c:v>66644.8820619072</c:v>
                </c:pt>
                <c:pt idx="27">
                  <c:v>66476.806644117</c:v>
                </c:pt>
                <c:pt idx="28">
                  <c:v>66311.8851605146</c:v>
                </c:pt>
                <c:pt idx="29">
                  <c:v>66144.649546046</c:v>
                </c:pt>
              </c:numCache>
            </c:numRef>
          </c:val>
        </c:ser>
        <c:ser>
          <c:idx val="1"/>
          <c:order val="1"/>
          <c:tx>
            <c:strRef>
              <c:f>Operations!B19</c:f>
              <c:strCache>
                <c:ptCount val="1"/>
                <c:pt idx="0">
                  <c:v>Grid Shortfall (MWh)</c:v>
                </c:pt>
              </c:strCache>
            </c:strRef>
          </c:tx>
          <c:spPr>
            <a:solidFill>
              <a:srgbClr val="a0522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Operations!$C$4:$AF$4</c:f>
              <c:strCache>
                <c:ptCount val="3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</c:strCache>
            </c:strRef>
          </c:cat>
          <c:val>
            <c:numRef>
              <c:f>Operations!$C$19:$AF$19</c:f>
              <c:numCache>
                <c:formatCode>#,##0;\(#,##0\);\-</c:formatCode>
                <c:ptCount val="30"/>
                <c:pt idx="0">
                  <c:v>49400.46</c:v>
                </c:pt>
                <c:pt idx="1">
                  <c:v>49579.8518298207</c:v>
                </c:pt>
                <c:pt idx="2">
                  <c:v>93585.877373051</c:v>
                </c:pt>
                <c:pt idx="3">
                  <c:v>93764.3728561213</c:v>
                </c:pt>
                <c:pt idx="4">
                  <c:v>126812.018872543</c:v>
                </c:pt>
                <c:pt idx="5">
                  <c:v>126989.622487536</c:v>
                </c:pt>
                <c:pt idx="6">
                  <c:v>127163.89337178</c:v>
                </c:pt>
                <c:pt idx="7">
                  <c:v>127340.609574993</c:v>
                </c:pt>
                <c:pt idx="8">
                  <c:v>127514.966515562</c:v>
                </c:pt>
                <c:pt idx="9">
                  <c:v>127690.797327977</c:v>
                </c:pt>
                <c:pt idx="10">
                  <c:v>127863.328676272</c:v>
                </c:pt>
                <c:pt idx="11">
                  <c:v>128038.280934867</c:v>
                </c:pt>
                <c:pt idx="12">
                  <c:v>128209.950215399</c:v>
                </c:pt>
                <c:pt idx="13">
                  <c:v>128384.028309944</c:v>
                </c:pt>
                <c:pt idx="14">
                  <c:v>128554.839830109</c:v>
                </c:pt>
                <c:pt idx="15">
                  <c:v>128728.048128441</c:v>
                </c:pt>
                <c:pt idx="16">
                  <c:v>128898.94399667</c:v>
                </c:pt>
                <c:pt idx="17">
                  <c:v>129071.284479653</c:v>
                </c:pt>
                <c:pt idx="18">
                  <c:v>129240.390994526</c:v>
                </c:pt>
                <c:pt idx="19">
                  <c:v>129411.870363422</c:v>
                </c:pt>
                <c:pt idx="20">
                  <c:v>129580.131923007</c:v>
                </c:pt>
                <c:pt idx="21">
                  <c:v>129750.754480446</c:v>
                </c:pt>
                <c:pt idx="22">
                  <c:v>129918.175306636</c:v>
                </c:pt>
                <c:pt idx="23">
                  <c:v>130087.94533375</c:v>
                </c:pt>
                <c:pt idx="24">
                  <c:v>130255.448833654</c:v>
                </c:pt>
                <c:pt idx="25">
                  <c:v>130424.368271988</c:v>
                </c:pt>
                <c:pt idx="26">
                  <c:v>130590.117938093</c:v>
                </c:pt>
                <c:pt idx="27">
                  <c:v>130758.193355883</c:v>
                </c:pt>
                <c:pt idx="28">
                  <c:v>130923.114839485</c:v>
                </c:pt>
                <c:pt idx="29">
                  <c:v>131090.350453954</c:v>
                </c:pt>
              </c:numCache>
            </c:numRef>
          </c:val>
        </c:ser>
        <c:gapWidth val="150"/>
        <c:overlap val="100"/>
        <c:axId val="86922380"/>
        <c:axId val="43686171"/>
      </c:barChart>
      <c:catAx>
        <c:axId val="8692238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3686171"/>
        <c:crosses val="autoZero"/>
        <c:auto val="1"/>
        <c:lblAlgn val="ctr"/>
        <c:lblOffset val="100"/>
        <c:noMultiLvlLbl val="0"/>
      </c:catAx>
      <c:valAx>
        <c:axId val="4368617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MWh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;\(#,##0\);\-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6922380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Equity Cash Flow Profile (Construction + Operations)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spPr>
            <a:solidFill>
              <a:srgbClr val="4a7c6f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'Outputs &amp; Dashboard'!$C$16</c:f>
              <c:numCache>
                <c:formatCode>\$#,##0;"($"#,##0\);\-</c:formatCode>
                <c:ptCount val="1"/>
                <c:pt idx="0">
                  <c:v>-2863942.25204657</c:v>
                </c:pt>
              </c:numCache>
            </c:numRef>
          </c:val>
        </c:ser>
        <c:ser>
          <c:idx val="1"/>
          <c:order val="1"/>
          <c:spPr>
            <a:solidFill>
              <a:srgbClr val="863735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'Outputs &amp; Dashboard'!$D$16</c:f>
              <c:numCache>
                <c:formatCode>\$#,##0;"($"#,##0\);\-</c:formatCode>
                <c:ptCount val="1"/>
                <c:pt idx="0">
                  <c:v>-5499550.39450633</c:v>
                </c:pt>
              </c:numCache>
            </c:numRef>
          </c:val>
        </c:ser>
        <c:ser>
          <c:idx val="2"/>
          <c:order val="2"/>
          <c:spPr>
            <a:solidFill>
              <a:srgbClr val="6c823e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'Outputs &amp; Dashboard'!$E$16</c:f>
              <c:numCache>
                <c:formatCode>\$#,##0;"($"#,##0\);\-</c:formatCode>
                <c:ptCount val="1"/>
                <c:pt idx="0">
                  <c:v>-7905963.78198342</c:v>
                </c:pt>
              </c:numCache>
            </c:numRef>
          </c:val>
        </c:ser>
        <c:ser>
          <c:idx val="3"/>
          <c:order val="3"/>
          <c:spPr>
            <a:solidFill>
              <a:srgbClr val="594571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'Outputs &amp; Dashboard'!$F$16</c:f>
              <c:numCache>
                <c:formatCode>\$#,##0;"($"#,##0\);\-</c:formatCode>
                <c:ptCount val="1"/>
                <c:pt idx="0">
                  <c:v>-10082321.769082</c:v>
                </c:pt>
              </c:numCache>
            </c:numRef>
          </c:val>
        </c:ser>
        <c:ser>
          <c:idx val="4"/>
          <c:order val="4"/>
          <c:spPr>
            <a:solidFill>
              <a:srgbClr val="34788a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'Outputs &amp; Dashboard'!$G$16</c:f>
              <c:numCache>
                <c:formatCode>\$#,##0;"($"#,##0\);\-</c:formatCode>
                <c:ptCount val="1"/>
                <c:pt idx="0">
                  <c:v>-12027763.7104061</c:v>
                </c:pt>
              </c:numCache>
            </c:numRef>
          </c:val>
        </c:ser>
        <c:ser>
          <c:idx val="5"/>
          <c:order val="5"/>
          <c:spPr>
            <a:solidFill>
              <a:srgbClr val="ac6830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'Outputs &amp; Dashboard'!$H$16</c:f>
              <c:numCache>
                <c:formatCode>\$#,##0;"($"#,##0\);\-</c:formatCode>
                <c:ptCount val="1"/>
                <c:pt idx="0">
                  <c:v>-13741428.9605599</c:v>
                </c:pt>
              </c:numCache>
            </c:numRef>
          </c:val>
        </c:ser>
        <c:ser>
          <c:idx val="6"/>
          <c:order val="6"/>
          <c:spPr>
            <a:solidFill>
              <a:srgbClr val="3e6595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'Outputs &amp; Dashboard'!$I$16</c:f>
              <c:numCache>
                <c:formatCode>\$#,##0;"($"#,##0\);\-</c:formatCode>
                <c:ptCount val="1"/>
                <c:pt idx="0">
                  <c:v>-15222456.8741476</c:v>
                </c:pt>
              </c:numCache>
            </c:numRef>
          </c:val>
        </c:ser>
        <c:ser>
          <c:idx val="7"/>
          <c:order val="7"/>
          <c:spPr>
            <a:solidFill>
              <a:srgbClr val="973f3c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'Outputs &amp; Dashboard'!$J$16</c:f>
              <c:numCache>
                <c:formatCode>\$#,##0;"($"#,##0\);\-</c:formatCode>
                <c:ptCount val="1"/>
                <c:pt idx="0">
                  <c:v>-16469986.8057733</c:v>
                </c:pt>
              </c:numCache>
            </c:numRef>
          </c:val>
        </c:ser>
        <c:ser>
          <c:idx val="8"/>
          <c:order val="8"/>
          <c:spPr>
            <a:solidFill>
              <a:srgbClr val="7a9346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'Outputs &amp; Dashboard'!$K$16</c:f>
              <c:numCache>
                <c:formatCode>\$#,##0;"($"#,##0\);\-</c:formatCode>
                <c:ptCount val="1"/>
                <c:pt idx="0">
                  <c:v>-17483158.1100412</c:v>
                </c:pt>
              </c:numCache>
            </c:numRef>
          </c:val>
        </c:ser>
        <c:ser>
          <c:idx val="9"/>
          <c:order val="9"/>
          <c:spPr>
            <a:solidFill>
              <a:srgbClr val="654e7f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'Outputs &amp; Dashboard'!$L$16</c:f>
              <c:numCache>
                <c:formatCode>\$#,##0;"($"#,##0\);\-</c:formatCode>
                <c:ptCount val="1"/>
                <c:pt idx="0">
                  <c:v>-18261110.1415552</c:v>
                </c:pt>
              </c:numCache>
            </c:numRef>
          </c:val>
        </c:ser>
        <c:ser>
          <c:idx val="10"/>
          <c:order val="10"/>
          <c:spPr>
            <a:solidFill>
              <a:srgbClr val="3b879c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'Outputs &amp; Dashboard'!$M$16</c:f>
              <c:numCache>
                <c:formatCode>\$#,##0;"($"#,##0\);\-</c:formatCode>
                <c:ptCount val="1"/>
                <c:pt idx="0">
                  <c:v>-18802982.2549197</c:v>
                </c:pt>
              </c:numCache>
            </c:numRef>
          </c:val>
        </c:ser>
        <c:ser>
          <c:idx val="11"/>
          <c:order val="11"/>
          <c:spPr>
            <a:solidFill>
              <a:srgbClr val="c27637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'Outputs &amp; Dashboard'!$N$16</c:f>
              <c:numCache>
                <c:formatCode>\$#,##0;"($"#,##0\);\-</c:formatCode>
                <c:ptCount val="1"/>
                <c:pt idx="0">
                  <c:v>-19107913.8047387</c:v>
                </c:pt>
              </c:numCache>
            </c:numRef>
          </c:val>
        </c:ser>
        <c:ser>
          <c:idx val="12"/>
          <c:order val="12"/>
          <c:spPr>
            <a:solidFill>
              <a:srgbClr val="446fa3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'Outputs &amp; Dashboard'!$O$16</c:f>
              <c:numCache>
                <c:formatCode>\$#,##0;"($"#,##0\);\-</c:formatCode>
                <c:ptCount val="1"/>
                <c:pt idx="0">
                  <c:v>-19175044.1456163</c:v>
                </c:pt>
              </c:numCache>
            </c:numRef>
          </c:val>
        </c:ser>
        <c:ser>
          <c:idx val="13"/>
          <c:order val="13"/>
          <c:spPr>
            <a:solidFill>
              <a:srgbClr val="a64542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'Outputs &amp; Dashboard'!$P$16</c:f>
              <c:numCache>
                <c:formatCode>\$#,##0;"($"#,##0\);\-</c:formatCode>
                <c:ptCount val="1"/>
                <c:pt idx="0">
                  <c:v>-19003512.6321567</c:v>
                </c:pt>
              </c:numCache>
            </c:numRef>
          </c:val>
        </c:ser>
        <c:ser>
          <c:idx val="14"/>
          <c:order val="14"/>
          <c:spPr>
            <a:solidFill>
              <a:srgbClr val="86a24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'Outputs &amp; Dashboard'!$Q$16</c:f>
              <c:numCache>
                <c:formatCode>\$#,##0;"($"#,##0\);\-</c:formatCode>
                <c:ptCount val="1"/>
                <c:pt idx="0">
                  <c:v>-18592458.618964</c:v>
                </c:pt>
              </c:numCache>
            </c:numRef>
          </c:val>
        </c:ser>
        <c:ser>
          <c:idx val="15"/>
          <c:order val="15"/>
          <c:spPr>
            <a:solidFill>
              <a:srgbClr val="6e568c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'Outputs &amp; Dashboard'!$R$16</c:f>
              <c:numCache>
                <c:formatCode>\$#,##0;"($"#,##0\);\-</c:formatCode>
                <c:ptCount val="1"/>
                <c:pt idx="0">
                  <c:v>-17941021.4606424</c:v>
                </c:pt>
              </c:numCache>
            </c:numRef>
          </c:val>
        </c:ser>
        <c:ser>
          <c:idx val="16"/>
          <c:order val="16"/>
          <c:spPr>
            <a:solidFill>
              <a:srgbClr val="4195ab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'Outputs &amp; Dashboard'!$S$16</c:f>
              <c:numCache>
                <c:formatCode>\$#,##0;"($"#,##0\);\-</c:formatCode>
                <c:ptCount val="1"/>
                <c:pt idx="0">
                  <c:v>-17048340.511796</c:v>
                </c:pt>
              </c:numCache>
            </c:numRef>
          </c:val>
        </c:ser>
        <c:ser>
          <c:idx val="17"/>
          <c:order val="17"/>
          <c:spPr>
            <a:solidFill>
              <a:srgbClr val="d6823c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'Outputs &amp; Dashboard'!$T$16</c:f>
              <c:numCache>
                <c:formatCode>\$#,##0;"($"#,##0\);\-</c:formatCode>
                <c:ptCount val="1"/>
                <c:pt idx="0">
                  <c:v>-15913555.1270289</c:v>
                </c:pt>
              </c:numCache>
            </c:numRef>
          </c:val>
        </c:ser>
        <c:ser>
          <c:idx val="18"/>
          <c:order val="18"/>
          <c:spPr>
            <a:solidFill>
              <a:srgbClr val="4978b1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'Outputs &amp; Dashboard'!$U$16</c:f>
              <c:numCache>
                <c:formatCode>\$#,##0;"($"#,##0\);\-</c:formatCode>
                <c:ptCount val="1"/>
                <c:pt idx="0">
                  <c:v>-14535804.6609452</c:v>
                </c:pt>
              </c:numCache>
            </c:numRef>
          </c:val>
        </c:ser>
        <c:ser>
          <c:idx val="19"/>
          <c:order val="19"/>
          <c:spPr>
            <a:solidFill>
              <a:srgbClr val="b34a48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'Outputs &amp; Dashboard'!$V$16</c:f>
              <c:numCache>
                <c:formatCode>\$#,##0;"($"#,##0\);\-</c:formatCode>
                <c:ptCount val="1"/>
                <c:pt idx="0">
                  <c:v>-12914228.4681491</c:v>
                </c:pt>
              </c:numCache>
            </c:numRef>
          </c:val>
        </c:ser>
        <c:ser>
          <c:idx val="20"/>
          <c:order val="20"/>
          <c:spPr>
            <a:solidFill>
              <a:srgbClr val="91af53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'Outputs &amp; Dashboard'!$W$16</c:f>
              <c:numCache>
                <c:formatCode>\$#,##0;"($"#,##0\);\-</c:formatCode>
                <c:ptCount val="1"/>
                <c:pt idx="0">
                  <c:v>-11047965.9032448</c:v>
                </c:pt>
              </c:numCache>
            </c:numRef>
          </c:val>
        </c:ser>
        <c:ser>
          <c:idx val="21"/>
          <c:order val="21"/>
          <c:spPr>
            <a:solidFill>
              <a:srgbClr val="775d97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'Outputs &amp; Dashboard'!$X$16</c:f>
              <c:numCache>
                <c:formatCode>\$#,##0;"($"#,##0\);\-</c:formatCode>
                <c:ptCount val="1"/>
                <c:pt idx="0">
                  <c:v>-8936156.32083625</c:v>
                </c:pt>
              </c:numCache>
            </c:numRef>
          </c:val>
        </c:ser>
        <c:ser>
          <c:idx val="22"/>
          <c:order val="22"/>
          <c:spPr>
            <a:solidFill>
              <a:srgbClr val="46a1b9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'Outputs &amp; Dashboard'!$Y$16</c:f>
              <c:numCache>
                <c:formatCode>\$#,##0;"($"#,##0\);\-</c:formatCode>
                <c:ptCount val="1"/>
                <c:pt idx="0">
                  <c:v>-6577939.07552772</c:v>
                </c:pt>
              </c:numCache>
            </c:numRef>
          </c:val>
        </c:ser>
        <c:ser>
          <c:idx val="23"/>
          <c:order val="23"/>
          <c:spPr>
            <a:solidFill>
              <a:srgbClr val="e78c41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'Outputs &amp; Dashboard'!$Z$16</c:f>
              <c:numCache>
                <c:formatCode>\$#,##0;"($"#,##0\);\-</c:formatCode>
                <c:ptCount val="1"/>
                <c:pt idx="0">
                  <c:v>-15464280.4555648</c:v>
                </c:pt>
              </c:numCache>
            </c:numRef>
          </c:val>
        </c:ser>
        <c:ser>
          <c:idx val="24"/>
          <c:order val="24"/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'Outputs &amp; Dashboard'!$AA$16</c:f>
              <c:numCache>
                <c:formatCode>\$#,##0;"($"#,##0\);\-</c:formatCode>
                <c:ptCount val="1"/>
                <c:pt idx="0">
                  <c:v>2245274.50740741</c:v>
                </c:pt>
              </c:numCache>
            </c:numRef>
          </c:val>
        </c:ser>
        <c:ser>
          <c:idx val="25"/>
          <c:order val="25"/>
          <c:spPr>
            <a:solidFill>
              <a:srgbClr val="c0504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'Outputs &amp; Dashboard'!$AB$16</c:f>
              <c:numCache>
                <c:formatCode>\$#,##0;"($"#,##0\);\-</c:formatCode>
                <c:ptCount val="1"/>
                <c:pt idx="0">
                  <c:v>1599433.16063836</c:v>
                </c:pt>
              </c:numCache>
            </c:numRef>
          </c:val>
        </c:ser>
        <c:ser>
          <c:idx val="26"/>
          <c:order val="26"/>
          <c:spPr>
            <a:solidFill>
              <a:srgbClr val="9bbb59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'Outputs &amp; Dashboard'!$AC$16</c:f>
              <c:numCache>
                <c:formatCode>\$#,##0;"($"#,##0\);\-</c:formatCode>
                <c:ptCount val="1"/>
                <c:pt idx="0">
                  <c:v>2424578.83033697</c:v>
                </c:pt>
              </c:numCache>
            </c:numRef>
          </c:val>
        </c:ser>
        <c:ser>
          <c:idx val="27"/>
          <c:order val="27"/>
          <c:spPr>
            <a:solidFill>
              <a:srgbClr val="8064a2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'Outputs &amp; Dashboard'!$AD$16</c:f>
              <c:numCache>
                <c:formatCode>\$#,##0;"($"#,##0\);\-</c:formatCode>
                <c:ptCount val="1"/>
                <c:pt idx="0">
                  <c:v>1994950.04746472</c:v>
                </c:pt>
              </c:numCache>
            </c:numRef>
          </c:val>
        </c:ser>
        <c:ser>
          <c:idx val="28"/>
          <c:order val="28"/>
          <c:spPr>
            <a:solidFill>
              <a:srgbClr val="4bacc6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'Outputs &amp; Dashboard'!$AE$16</c:f>
              <c:numCache>
                <c:formatCode>\$#,##0;"($"#,##0\);\-</c:formatCode>
                <c:ptCount val="1"/>
                <c:pt idx="0">
                  <c:v>2635484.74290252</c:v>
                </c:pt>
              </c:numCache>
            </c:numRef>
          </c:val>
        </c:ser>
        <c:ser>
          <c:idx val="29"/>
          <c:order val="29"/>
          <c:spPr>
            <a:solidFill>
              <a:srgbClr val="f79646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'Outputs &amp; Dashboard'!$AF$16</c:f>
              <c:numCache>
                <c:formatCode>\$#,##0;"($"#,##0\);\-</c:formatCode>
                <c:ptCount val="1"/>
                <c:pt idx="0">
                  <c:v>2666954.52323247</c:v>
                </c:pt>
              </c:numCache>
            </c:numRef>
          </c:val>
        </c:ser>
        <c:ser>
          <c:idx val="30"/>
          <c:order val="30"/>
          <c:spPr>
            <a:solidFill>
              <a:srgbClr val="7e9bc7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'Outputs &amp; Dashboard'!$AG$16</c:f>
              <c:numCache>
                <c:formatCode>\$#,##0;"($"#,##0\);\-</c:formatCode>
                <c:ptCount val="1"/>
                <c:pt idx="0">
                  <c:v>2695292.07571406</c:v>
                </c:pt>
              </c:numCache>
            </c:numRef>
          </c:val>
        </c:ser>
        <c:ser>
          <c:idx val="31"/>
          <c:order val="31"/>
          <c:spPr>
            <a:solidFill>
              <a:srgbClr val="ca7e7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'Outputs &amp; Dashboard'!$AH$16</c:f>
              <c:numCache>
                <c:formatCode>\$#,##0;"($"#,##0\);\-</c:formatCode>
                <c:ptCount val="1"/>
                <c:pt idx="0">
                  <c:v>2726841.59889393</c:v>
                </c:pt>
              </c:numCache>
            </c:numRef>
          </c:val>
        </c:ser>
        <c:ser>
          <c:idx val="32"/>
          <c:order val="32"/>
          <c:spPr>
            <a:solidFill>
              <a:srgbClr val="adc683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'Outputs &amp; Dashboard'!$AI$16</c:f>
              <c:numCache>
                <c:formatCode>\$#,##0;"($"#,##0\);\-</c:formatCode>
                <c:ptCount val="1"/>
                <c:pt idx="0">
                  <c:v>2756358.09074548</c:v>
                </c:pt>
              </c:numCache>
            </c:numRef>
          </c:val>
        </c:ser>
        <c:ser>
          <c:idx val="33"/>
          <c:order val="33"/>
          <c:spPr>
            <a:solidFill>
              <a:srgbClr val="9a89b2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'Outputs &amp; Dashboard'!$AJ$16</c:f>
              <c:numCache>
                <c:formatCode>\$#,##0;"($"#,##0\);\-</c:formatCode>
                <c:ptCount val="1"/>
                <c:pt idx="0">
                  <c:v>2788987.48486778</c:v>
                </c:pt>
              </c:numCache>
            </c:numRef>
          </c:val>
        </c:ser>
        <c:ser>
          <c:idx val="34"/>
          <c:order val="34"/>
          <c:spPr>
            <a:solidFill>
              <a:srgbClr val="7cbacf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'Outputs &amp; Dashboard'!$AK$16</c:f>
              <c:numCache>
                <c:formatCode>\$#,##0;"($"#,##0\);\-</c:formatCode>
                <c:ptCount val="1"/>
                <c:pt idx="0">
                  <c:v>2818369.32140256</c:v>
                </c:pt>
              </c:numCache>
            </c:numRef>
          </c:val>
        </c:ser>
        <c:ser>
          <c:idx val="35"/>
          <c:order val="35"/>
          <c:spPr>
            <a:solidFill>
              <a:srgbClr val="f8aa7a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'Outputs &amp; Dashboard'!$AL$16</c:f>
              <c:numCache>
                <c:formatCode>\$#,##0;"($"#,##0\);\-</c:formatCode>
                <c:ptCount val="1"/>
                <c:pt idx="0">
                  <c:v>2851593.8713058</c:v>
                </c:pt>
              </c:numCache>
            </c:numRef>
          </c:val>
        </c:ser>
        <c:ser>
          <c:idx val="36"/>
          <c:order val="36"/>
          <c:spPr>
            <a:solidFill>
              <a:srgbClr val="9db0d2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'Outputs &amp; Dashboard'!$AM$16</c:f>
              <c:numCache>
                <c:formatCode>\$#,##0;"($"#,##0\);\-</c:formatCode>
                <c:ptCount val="1"/>
                <c:pt idx="0">
                  <c:v>2881511.67356487</c:v>
                </c:pt>
              </c:numCache>
            </c:numRef>
          </c:val>
        </c:ser>
        <c:ser>
          <c:idx val="37"/>
          <c:order val="37"/>
          <c:spPr>
            <a:solidFill>
              <a:srgbClr val="d49d9c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'Outputs &amp; Dashboard'!$AN$16</c:f>
              <c:numCache>
                <c:formatCode>\$#,##0;"($"#,##0\);\-</c:formatCode>
                <c:ptCount val="1"/>
                <c:pt idx="0">
                  <c:v>2915342.4011811</c:v>
                </c:pt>
              </c:numCache>
            </c:numRef>
          </c:val>
        </c:ser>
        <c:ser>
          <c:idx val="38"/>
          <c:order val="38"/>
          <c:spPr>
            <a:solidFill>
              <a:srgbClr val="bed0a0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'Outputs &amp; Dashboard'!$AO$16</c:f>
              <c:numCache>
                <c:formatCode>\$#,##0;"($"#,##0\);\-</c:formatCode>
                <c:ptCount val="1"/>
                <c:pt idx="0">
                  <c:v>2945806.09584644</c:v>
                </c:pt>
              </c:numCache>
            </c:numRef>
          </c:val>
        </c:ser>
        <c:ser>
          <c:idx val="39"/>
          <c:order val="39"/>
          <c:spPr>
            <a:solidFill>
              <a:srgbClr val="b0a4c2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'Outputs &amp; Dashboard'!$AP$16</c:f>
              <c:numCache>
                <c:formatCode>\$#,##0;"($"#,##0\);\-</c:formatCode>
                <c:ptCount val="1"/>
                <c:pt idx="0">
                  <c:v>0</c:v>
                </c:pt>
              </c:numCache>
            </c:numRef>
          </c:val>
        </c:ser>
        <c:ser>
          <c:idx val="40"/>
          <c:order val="40"/>
          <c:spPr>
            <a:solidFill>
              <a:srgbClr val="9cc7d7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'Outputs &amp; Dashboard'!$AQ$16</c:f>
              <c:numCache>
                <c:formatCode>\$#,##0;"($"#,##0\);\-</c:formatCode>
                <c:ptCount val="1"/>
                <c:pt idx="0">
                  <c:v>3011454.92686733</c:v>
                </c:pt>
              </c:numCache>
            </c:numRef>
          </c:val>
        </c:ser>
        <c:ser>
          <c:idx val="41"/>
          <c:order val="41"/>
          <c:spPr>
            <a:solidFill>
              <a:srgbClr val="f9bb9a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'Outputs &amp; Dashboard'!$AR$16</c:f>
              <c:numCache>
                <c:formatCode>\$#,##0;"($"#,##0\);\-</c:formatCode>
                <c:ptCount val="1"/>
                <c:pt idx="0">
                  <c:v>3046533.64848062</c:v>
                </c:pt>
              </c:numCache>
            </c:numRef>
          </c:val>
        </c:ser>
        <c:ser>
          <c:idx val="42"/>
          <c:order val="42"/>
          <c:spPr>
            <a:solidFill>
              <a:srgbClr val="b5c3db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'Outputs &amp; Dashboard'!$AS$16</c:f>
              <c:numCache>
                <c:formatCode>\$#,##0;"($"#,##0\);\-</c:formatCode>
                <c:ptCount val="1"/>
                <c:pt idx="0">
                  <c:v>3078121.22506131</c:v>
                </c:pt>
              </c:numCache>
            </c:numRef>
          </c:val>
        </c:ser>
        <c:ser>
          <c:idx val="43"/>
          <c:order val="43"/>
          <c:spPr>
            <a:solidFill>
              <a:srgbClr val="ddb5b5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'Outputs &amp; Dashboard'!$AT$16</c:f>
              <c:numCache>
                <c:formatCode>\$#,##0;"($"#,##0\);\-</c:formatCode>
                <c:ptCount val="1"/>
                <c:pt idx="0">
                  <c:v>3113840.4834195</c:v>
                </c:pt>
              </c:numCache>
            </c:numRef>
          </c:val>
        </c:ser>
        <c:ser>
          <c:idx val="44"/>
          <c:order val="44"/>
          <c:spPr>
            <a:solidFill>
              <a:srgbClr val="ccdab7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'Outputs &amp; Dashboard'!$AU$16</c:f>
              <c:numCache>
                <c:formatCode>\$#,##0;"($"#,##0\);\-</c:formatCode>
                <c:ptCount val="1"/>
                <c:pt idx="0">
                  <c:v>3146004.89729212</c:v>
                </c:pt>
              </c:numCache>
            </c:numRef>
          </c:val>
        </c:ser>
        <c:ser>
          <c:idx val="45"/>
          <c:order val="45"/>
          <c:spPr>
            <a:solidFill>
              <a:srgbClr val="c2bacf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'Outputs &amp; Dashboard'!$AV$16</c:f>
              <c:numCache>
                <c:formatCode>\$#,##0;"($"#,##0\);\-</c:formatCode>
                <c:ptCount val="1"/>
                <c:pt idx="0">
                  <c:v>5247171.63430212</c:v>
                </c:pt>
              </c:numCache>
            </c:numRef>
          </c:val>
        </c:ser>
        <c:ser>
          <c:idx val="46"/>
          <c:order val="46"/>
          <c:spPr>
            <a:solidFill>
              <a:srgbClr val="b5d4e0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'Outputs &amp; Dashboard'!$AW$16</c:f>
              <c:numCache>
                <c:formatCode>\$#,##0;"($"#,##0\);\-</c:formatCode>
                <c:ptCount val="1"/>
                <c:pt idx="0">
                  <c:v>2518360.27654602</c:v>
                </c:pt>
              </c:numCache>
            </c:numRef>
          </c:val>
        </c:ser>
        <c:ser>
          <c:idx val="47"/>
          <c:order val="47"/>
          <c:spPr>
            <a:solidFill>
              <a:srgbClr val="facab4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'Outputs &amp; Dashboard'!$AX$16</c:f>
              <c:numCache>
                <c:formatCode>\$#,##0;"($"#,##0\);\-</c:formatCode>
                <c:ptCount val="1"/>
                <c:pt idx="0">
                  <c:v>3344320.30859178</c:v>
                </c:pt>
              </c:numCache>
            </c:numRef>
          </c:val>
        </c:ser>
        <c:ser>
          <c:idx val="48"/>
          <c:order val="48"/>
          <c:spPr>
            <a:solidFill>
              <a:srgbClr val="cad3e5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'Outputs &amp; Dashboard'!$AY$16</c:f>
              <c:numCache>
                <c:formatCode>\$#,##0;"($"#,##0\);\-</c:formatCode>
                <c:ptCount val="1"/>
                <c:pt idx="0">
                  <c:v>2291782.25907701</c:v>
                </c:pt>
              </c:numCache>
            </c:numRef>
          </c:val>
        </c:ser>
        <c:ser>
          <c:idx val="49"/>
          <c:order val="49"/>
          <c:spPr>
            <a:solidFill>
              <a:srgbClr val="e6caca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'Outputs &amp; Dashboard'!$AZ$16</c:f>
              <c:numCache>
                <c:formatCode>\$#,##0;"($"#,##0\);\-</c:formatCode>
                <c:ptCount val="1"/>
                <c:pt idx="0">
                  <c:v>2320068.4342428</c:v>
                </c:pt>
              </c:numCache>
            </c:numRef>
          </c:val>
        </c:ser>
        <c:ser>
          <c:idx val="50"/>
          <c:order val="50"/>
          <c:spPr>
            <a:solidFill>
              <a:srgbClr val="dae4cc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'Outputs &amp; Dashboard'!$BA$16</c:f>
              <c:numCache>
                <c:formatCode>\$#,##0;"($"#,##0\);\-</c:formatCode>
                <c:ptCount val="1"/>
                <c:pt idx="0">
                  <c:v>2345539.63519318</c:v>
                </c:pt>
              </c:numCache>
            </c:numRef>
          </c:val>
        </c:ser>
        <c:ser>
          <c:idx val="51"/>
          <c:order val="51"/>
          <c:spPr>
            <a:solidFill>
              <a:srgbClr val="d3cddc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'Outputs &amp; Dashboard'!$BB$16</c:f>
              <c:numCache>
                <c:formatCode>\$#,##0;"($"#,##0\);\-</c:formatCode>
                <c:ptCount val="1"/>
                <c:pt idx="0">
                  <c:v>2374342.889538</c:v>
                </c:pt>
              </c:numCache>
            </c:numRef>
          </c:val>
        </c:ser>
        <c:ser>
          <c:idx val="52"/>
          <c:order val="52"/>
          <c:spPr>
            <a:solidFill>
              <a:srgbClr val="cadfe8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'Outputs &amp; Dashboard'!$BC$16</c:f>
              <c:numCache>
                <c:formatCode>\$#,##0;"($"#,##0\);\-</c:formatCode>
                <c:ptCount val="1"/>
                <c:pt idx="0">
                  <c:v>2400279.75085165</c:v>
                </c:pt>
              </c:numCache>
            </c:numRef>
          </c:val>
        </c:ser>
        <c:ser>
          <c:idx val="53"/>
          <c:order val="53"/>
          <c:spPr>
            <a:solidFill>
              <a:srgbClr val="fbd8c9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'Outputs &amp; Dashboard'!$BD$16</c:f>
              <c:numCache>
                <c:formatCode>\$#,##0;"($"#,##0\);\-</c:formatCode>
                <c:ptCount val="1"/>
                <c:pt idx="0">
                  <c:v>11657037.5079163</c:v>
                </c:pt>
              </c:numCache>
            </c:numRef>
          </c:val>
        </c:ser>
        <c:gapWidth val="150"/>
        <c:overlap val="0"/>
        <c:axId val="45289620"/>
        <c:axId val="83259909"/>
      </c:barChart>
      <c:catAx>
        <c:axId val="45289620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Period (Construction months -&gt; Operating periods)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3259909"/>
        <c:crosses val="autoZero"/>
        <c:auto val="1"/>
        <c:lblAlgn val="ctr"/>
        <c:lblOffset val="100"/>
        <c:noMultiLvlLbl val="0"/>
      </c:catAx>
      <c:valAx>
        <c:axId val="8325990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USD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;&quot;($&quot;#,##0\);\-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5289620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160560</xdr:rowOff>
    </xdr:from>
    <xdr:to>
      <xdr:col>12</xdr:col>
      <xdr:colOff>472680</xdr:colOff>
      <xdr:row>20</xdr:row>
      <xdr:rowOff>140400</xdr:rowOff>
    </xdr:to>
    <xdr:graphicFrame>
      <xdr:nvGraphicFramePr>
        <xdr:cNvPr id="0" name="Chart 1"/>
        <xdr:cNvGraphicFramePr/>
      </xdr:nvGraphicFramePr>
      <xdr:xfrm>
        <a:off x="211320" y="379800"/>
        <a:ext cx="7199280" cy="359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0</xdr:colOff>
      <xdr:row>21</xdr:row>
      <xdr:rowOff>160920</xdr:rowOff>
    </xdr:from>
    <xdr:to>
      <xdr:col>12</xdr:col>
      <xdr:colOff>472680</xdr:colOff>
      <xdr:row>40</xdr:row>
      <xdr:rowOff>140400</xdr:rowOff>
    </xdr:to>
    <xdr:graphicFrame>
      <xdr:nvGraphicFramePr>
        <xdr:cNvPr id="1" name="Chart 2"/>
        <xdr:cNvGraphicFramePr/>
      </xdr:nvGraphicFramePr>
      <xdr:xfrm>
        <a:off x="211320" y="4190040"/>
        <a:ext cx="7199280" cy="35989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0</xdr:colOff>
      <xdr:row>41</xdr:row>
      <xdr:rowOff>160560</xdr:rowOff>
    </xdr:from>
    <xdr:to>
      <xdr:col>12</xdr:col>
      <xdr:colOff>472680</xdr:colOff>
      <xdr:row>60</xdr:row>
      <xdr:rowOff>140400</xdr:rowOff>
    </xdr:to>
    <xdr:graphicFrame>
      <xdr:nvGraphicFramePr>
        <xdr:cNvPr id="2" name="Chart 3"/>
        <xdr:cNvGraphicFramePr/>
      </xdr:nvGraphicFramePr>
      <xdr:xfrm>
        <a:off x="211320" y="7999560"/>
        <a:ext cx="7199280" cy="359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</xdr:col>
      <xdr:colOff>0</xdr:colOff>
      <xdr:row>61</xdr:row>
      <xdr:rowOff>160560</xdr:rowOff>
    </xdr:from>
    <xdr:to>
      <xdr:col>12</xdr:col>
      <xdr:colOff>472680</xdr:colOff>
      <xdr:row>80</xdr:row>
      <xdr:rowOff>140400</xdr:rowOff>
    </xdr:to>
    <xdr:graphicFrame>
      <xdr:nvGraphicFramePr>
        <xdr:cNvPr id="3" name="Chart 4"/>
        <xdr:cNvGraphicFramePr/>
      </xdr:nvGraphicFramePr>
      <xdr:xfrm>
        <a:off x="211320" y="11809800"/>
        <a:ext cx="7199280" cy="359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28B22"/>
    <pageSetUpPr fitToPage="false"/>
  </sheetPr>
  <dimension ref="B2:I3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34"/>
    <col collapsed="false" customWidth="true" hidden="false" outlineLevel="0" max="8" min="3" style="1" width="22"/>
  </cols>
  <sheetData>
    <row r="2" customFormat="false" ht="24" hidden="false" customHeight="true" outlineLevel="0" collapsed="false">
      <c r="B2" s="2" t="s">
        <v>0</v>
      </c>
      <c r="C2" s="2"/>
      <c r="D2" s="2"/>
      <c r="E2" s="2"/>
      <c r="F2" s="2"/>
      <c r="G2" s="2"/>
      <c r="H2" s="2"/>
    </row>
    <row r="3" customFormat="false" ht="15" hidden="false" customHeight="true" outlineLevel="0" collapsed="false">
      <c r="B3" s="3" t="s">
        <v>1</v>
      </c>
      <c r="C3" s="3"/>
      <c r="D3" s="3"/>
      <c r="E3" s="3"/>
      <c r="F3" s="3"/>
      <c r="G3" s="3"/>
      <c r="H3" s="3"/>
    </row>
    <row r="4" customFormat="false" ht="15" hidden="false" customHeight="true" outlineLevel="0" collapsed="false">
      <c r="B4" s="4" t="s">
        <v>2</v>
      </c>
      <c r="C4" s="4"/>
      <c r="D4" s="4"/>
      <c r="E4" s="4"/>
      <c r="F4" s="4"/>
      <c r="G4" s="4"/>
      <c r="H4" s="4"/>
    </row>
    <row r="6" customFormat="false" ht="15" hidden="false" customHeight="true" outlineLevel="0" collapsed="false">
      <c r="B6" s="5" t="s">
        <v>3</v>
      </c>
      <c r="C6" s="5"/>
      <c r="D6" s="6" t="s">
        <v>4</v>
      </c>
      <c r="E6" s="6"/>
      <c r="F6" s="6"/>
      <c r="G6" s="6"/>
      <c r="H6" s="6"/>
    </row>
    <row r="7" customFormat="false" ht="33.75" hidden="false" customHeight="true" outlineLevel="0" collapsed="false">
      <c r="B7" s="7" t="s">
        <v>5</v>
      </c>
      <c r="C7" s="7"/>
      <c r="D7" s="8" t="s">
        <v>6</v>
      </c>
      <c r="E7" s="8"/>
      <c r="F7" s="8"/>
      <c r="G7" s="8"/>
      <c r="H7" s="8"/>
    </row>
    <row r="9" customFormat="false" ht="15" hidden="false" customHeight="true" outlineLevel="0" collapsed="false">
      <c r="B9" s="9" t="s">
        <v>7</v>
      </c>
      <c r="C9" s="9"/>
      <c r="D9" s="9"/>
      <c r="E9" s="9"/>
      <c r="F9" s="9"/>
      <c r="G9" s="9"/>
      <c r="H9" s="9"/>
    </row>
    <row r="10" customFormat="false" ht="15" hidden="false" customHeight="true" outlineLevel="0" collapsed="false">
      <c r="B10" s="10" t="s">
        <v>8</v>
      </c>
      <c r="C10" s="10"/>
      <c r="D10" s="10" t="s">
        <v>9</v>
      </c>
      <c r="E10" s="10"/>
      <c r="F10" s="10" t="s">
        <v>10</v>
      </c>
      <c r="G10" s="10"/>
      <c r="H10" s="10" t="s">
        <v>11</v>
      </c>
      <c r="I10" s="10"/>
    </row>
    <row r="11" customFormat="false" ht="15" hidden="false" customHeight="true" outlineLevel="0" collapsed="false">
      <c r="B11" s="11" t="n">
        <f aca="false">'Outputs &amp; Dashboard'!C5</f>
        <v>-0.115163194091274</v>
      </c>
      <c r="C11" s="11"/>
      <c r="D11" s="12" t="n">
        <f aca="false">'Outputs &amp; Dashboard'!C6</f>
        <v>-268842064.449368</v>
      </c>
      <c r="E11" s="12"/>
      <c r="F11" s="13" t="n">
        <f aca="false">'Outputs &amp; Dashboard'!C7</f>
        <v>0.265500962307018</v>
      </c>
      <c r="G11" s="13"/>
      <c r="H11" s="13" t="n">
        <f aca="false">'Outputs &amp; Dashboard'!C8</f>
        <v>1.35</v>
      </c>
      <c r="I11" s="13"/>
    </row>
    <row r="12" customFormat="false" ht="15" hidden="false" customHeight="true" outlineLevel="0" collapsed="false">
      <c r="B12" s="11"/>
      <c r="C12" s="11"/>
      <c r="D12" s="12"/>
      <c r="E12" s="12"/>
      <c r="F12" s="13"/>
      <c r="G12" s="13"/>
      <c r="H12" s="13"/>
      <c r="I12" s="13"/>
    </row>
    <row r="13" customFormat="false" ht="15" hidden="false" customHeight="true" outlineLevel="0" collapsed="false">
      <c r="B13" s="10" t="s">
        <v>12</v>
      </c>
      <c r="C13" s="10"/>
      <c r="D13" s="10" t="s">
        <v>13</v>
      </c>
      <c r="E13" s="10"/>
      <c r="F13" s="10" t="s">
        <v>14</v>
      </c>
      <c r="G13" s="10"/>
      <c r="H13" s="10" t="s">
        <v>15</v>
      </c>
      <c r="I13" s="10"/>
    </row>
    <row r="14" customFormat="false" ht="15" hidden="false" customHeight="true" outlineLevel="0" collapsed="false">
      <c r="B14" s="13" t="n">
        <f aca="false">'Outputs &amp; Dashboard'!C9</f>
        <v>1.35</v>
      </c>
      <c r="C14" s="13"/>
      <c r="D14" s="11" t="n">
        <f aca="false">'Outputs &amp; Dashboard'!C10</f>
        <v>0.358303183788256</v>
      </c>
      <c r="E14" s="11"/>
      <c r="F14" s="12" t="n">
        <f aca="false">'Outputs &amp; Dashboard'!C11</f>
        <v>507858475.601854</v>
      </c>
      <c r="G14" s="12"/>
      <c r="H14" s="14" t="n">
        <f aca="false">'Outputs &amp; Dashboard'!C12</f>
        <v>46935</v>
      </c>
      <c r="I14" s="14"/>
    </row>
    <row r="15" customFormat="false" ht="15" hidden="false" customHeight="true" outlineLevel="0" collapsed="false">
      <c r="B15" s="13"/>
      <c r="C15" s="13"/>
      <c r="D15" s="11"/>
      <c r="E15" s="11"/>
      <c r="F15" s="12"/>
      <c r="G15" s="12"/>
      <c r="H15" s="14"/>
      <c r="I15" s="14"/>
    </row>
    <row r="21" customFormat="false" ht="15" hidden="false" customHeight="true" outlineLevel="0" collapsed="false">
      <c r="B21" s="15" t="s">
        <v>16</v>
      </c>
    </row>
    <row r="22" customFormat="false" ht="15" hidden="false" customHeight="true" outlineLevel="0" collapsed="false">
      <c r="B22" s="16" t="s">
        <v>17</v>
      </c>
      <c r="D22" s="17" t="s">
        <v>18</v>
      </c>
    </row>
    <row r="23" customFormat="false" ht="15" hidden="false" customHeight="true" outlineLevel="0" collapsed="false">
      <c r="B23" s="16" t="s">
        <v>19</v>
      </c>
      <c r="D23" s="17" t="s">
        <v>20</v>
      </c>
    </row>
    <row r="24" customFormat="false" ht="15" hidden="false" customHeight="true" outlineLevel="0" collapsed="false">
      <c r="B24" s="16" t="s">
        <v>21</v>
      </c>
      <c r="D24" s="17" t="s">
        <v>22</v>
      </c>
    </row>
    <row r="25" customFormat="false" ht="15" hidden="false" customHeight="true" outlineLevel="0" collapsed="false">
      <c r="B25" s="16" t="s">
        <v>23</v>
      </c>
      <c r="D25" s="17" t="s">
        <v>24</v>
      </c>
    </row>
    <row r="26" customFormat="false" ht="15" hidden="false" customHeight="true" outlineLevel="0" collapsed="false">
      <c r="B26" s="16" t="s">
        <v>25</v>
      </c>
      <c r="D26" s="17" t="s">
        <v>26</v>
      </c>
    </row>
    <row r="27" customFormat="false" ht="15" hidden="false" customHeight="true" outlineLevel="0" collapsed="false">
      <c r="B27" s="16" t="s">
        <v>27</v>
      </c>
      <c r="D27" s="17" t="s">
        <v>28</v>
      </c>
    </row>
    <row r="28" customFormat="false" ht="15" hidden="false" customHeight="true" outlineLevel="0" collapsed="false">
      <c r="B28" s="16" t="s">
        <v>29</v>
      </c>
      <c r="D28" s="17" t="s">
        <v>30</v>
      </c>
    </row>
    <row r="29" customFormat="false" ht="15" hidden="false" customHeight="true" outlineLevel="0" collapsed="false">
      <c r="B29" s="16" t="s">
        <v>31</v>
      </c>
      <c r="D29" s="17" t="s">
        <v>32</v>
      </c>
    </row>
    <row r="31" customFormat="false" ht="15" hidden="false" customHeight="true" outlineLevel="0" collapsed="false">
      <c r="B31" s="18" t="s">
        <v>33</v>
      </c>
      <c r="C31" s="18"/>
      <c r="D31" s="18"/>
      <c r="E31" s="18"/>
      <c r="F31" s="18"/>
      <c r="G31" s="18"/>
      <c r="H31" s="18"/>
    </row>
  </sheetData>
  <mergeCells count="25">
    <mergeCell ref="B2:H2"/>
    <mergeCell ref="B3:H3"/>
    <mergeCell ref="B4:H4"/>
    <mergeCell ref="B6:C6"/>
    <mergeCell ref="D6:H6"/>
    <mergeCell ref="B7:C7"/>
    <mergeCell ref="D7:H7"/>
    <mergeCell ref="B9:H9"/>
    <mergeCell ref="B10:C10"/>
    <mergeCell ref="D10:E10"/>
    <mergeCell ref="F10:G10"/>
    <mergeCell ref="H10:I10"/>
    <mergeCell ref="B11:C12"/>
    <mergeCell ref="D11:E12"/>
    <mergeCell ref="F11:G12"/>
    <mergeCell ref="H11:I12"/>
    <mergeCell ref="B13:C13"/>
    <mergeCell ref="D13:E13"/>
    <mergeCell ref="F13:G13"/>
    <mergeCell ref="H13:I13"/>
    <mergeCell ref="B14:C15"/>
    <mergeCell ref="D14:E15"/>
    <mergeCell ref="F14:G15"/>
    <mergeCell ref="H14:I15"/>
    <mergeCell ref="B31:H31"/>
  </mergeCells>
  <dataValidations count="1">
    <dataValidation allowBlank="false" error="Please select Base Case, Best Case, or Worst Case" errorStyle="stop" operator="between" prompt="Select the active scenario" showDropDown="false" showErrorMessage="false" showInputMessage="false" sqref="B7" type="list">
      <formula1>"Base Case,Best Case,Worst Case"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28B22"/>
    <pageSetUpPr fitToPage="false"/>
  </sheetPr>
  <dimension ref="A1:G5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38"/>
    <col collapsed="false" customWidth="true" hidden="false" outlineLevel="0" max="6" min="3" style="1" width="15"/>
    <col collapsed="false" customWidth="true" hidden="false" outlineLevel="0" max="7" min="7" style="1" width="40"/>
  </cols>
  <sheetData>
    <row r="1" customFormat="false" ht="17.25" hidden="false" customHeight="true" outlineLevel="0" collapsed="false">
      <c r="B1" s="19" t="s">
        <v>34</v>
      </c>
      <c r="C1" s="19"/>
      <c r="D1" s="19"/>
      <c r="E1" s="19"/>
      <c r="F1" s="19"/>
      <c r="G1" s="19"/>
    </row>
    <row r="3" customFormat="false" ht="15" hidden="false" customHeight="true" outlineLevel="0" collapsed="false">
      <c r="B3" s="20" t="s">
        <v>35</v>
      </c>
      <c r="C3" s="21" t="str">
        <f aca="false">Cover!$B$7</f>
        <v>Base Case</v>
      </c>
      <c r="D3" s="21"/>
    </row>
    <row r="5" customFormat="false" ht="15" hidden="false" customHeight="true" outlineLevel="0" collapsed="false">
      <c r="B5" s="22" t="s">
        <v>36</v>
      </c>
      <c r="C5" s="22" t="s">
        <v>5</v>
      </c>
      <c r="D5" s="22" t="s">
        <v>37</v>
      </c>
      <c r="E5" s="22" t="s">
        <v>38</v>
      </c>
      <c r="F5" s="22" t="s">
        <v>39</v>
      </c>
      <c r="G5" s="1" t="s">
        <v>40</v>
      </c>
    </row>
    <row r="8" customFormat="false" ht="15" hidden="false" customHeight="true" outlineLevel="0" collapsed="false">
      <c r="A8" s="9" t="s">
        <v>41</v>
      </c>
      <c r="B8" s="9"/>
      <c r="C8" s="9"/>
      <c r="D8" s="9"/>
      <c r="E8" s="9"/>
      <c r="F8" s="9"/>
      <c r="G8" s="9"/>
    </row>
    <row r="9" customFormat="false" ht="15" hidden="false" customHeight="true" outlineLevel="0" collapsed="false">
      <c r="B9" s="16" t="s">
        <v>42</v>
      </c>
      <c r="C9" s="23" t="n">
        <v>40</v>
      </c>
      <c r="D9" s="23" t="n">
        <v>40</v>
      </c>
      <c r="E9" s="23" t="n">
        <v>40</v>
      </c>
      <c r="F9" s="24" t="n">
        <f aca="false">INDEX(C9:E9,MATCH($C$3,{"Base Case","Best Case","Worst Case"},0))</f>
        <v>40</v>
      </c>
      <c r="G9" s="25" t="s">
        <v>43</v>
      </c>
    </row>
    <row r="10" customFormat="false" ht="15" hidden="false" customHeight="true" outlineLevel="0" collapsed="false">
      <c r="B10" s="16" t="s">
        <v>44</v>
      </c>
      <c r="C10" s="26" t="n">
        <v>1.25</v>
      </c>
      <c r="D10" s="26" t="n">
        <v>1.18</v>
      </c>
      <c r="E10" s="26" t="n">
        <v>1.35</v>
      </c>
      <c r="F10" s="27" t="n">
        <f aca="false">INDEX(C10:E10,MATCH($C$3,{"Base Case","Best Case","Worst Case"},0))</f>
        <v>1.25</v>
      </c>
      <c r="G10" s="25" t="s">
        <v>45</v>
      </c>
    </row>
    <row r="11" customFormat="false" ht="15" hidden="false" customHeight="true" outlineLevel="0" collapsed="false">
      <c r="B11" s="16" t="s">
        <v>46</v>
      </c>
      <c r="C11" s="28" t="n">
        <v>0.55</v>
      </c>
      <c r="D11" s="28" t="n">
        <v>0.65</v>
      </c>
      <c r="E11" s="28" t="n">
        <v>0.4</v>
      </c>
      <c r="F11" s="29" t="n">
        <f aca="false">INDEX(C11:E11,MATCH($C$3,{"Base Case","Best Case","Worst Case"},0))</f>
        <v>0.55</v>
      </c>
      <c r="G11" s="25" t="s">
        <v>47</v>
      </c>
    </row>
    <row r="12" customFormat="false" ht="15" hidden="false" customHeight="true" outlineLevel="0" collapsed="false">
      <c r="B12" s="16" t="s">
        <v>48</v>
      </c>
      <c r="C12" s="28" t="n">
        <v>0.75</v>
      </c>
      <c r="D12" s="28" t="n">
        <v>0.85</v>
      </c>
      <c r="E12" s="28" t="n">
        <v>0.6</v>
      </c>
      <c r="F12" s="29" t="n">
        <f aca="false">INDEX(C12:E12,MATCH($C$3,{"Base Case","Best Case","Worst Case"},0))</f>
        <v>0.75</v>
      </c>
      <c r="G12" s="25" t="s">
        <v>47</v>
      </c>
    </row>
    <row r="13" customFormat="false" ht="15" hidden="false" customHeight="true" outlineLevel="0" collapsed="false">
      <c r="B13" s="16" t="s">
        <v>49</v>
      </c>
      <c r="C13" s="28" t="n">
        <v>0.9</v>
      </c>
      <c r="D13" s="28" t="n">
        <v>1</v>
      </c>
      <c r="E13" s="28" t="n">
        <v>0.75</v>
      </c>
      <c r="F13" s="29" t="n">
        <f aca="false">INDEX(C13:E13,MATCH($C$3,{"Base Case","Best Case","Worst Case"},0))</f>
        <v>0.9</v>
      </c>
      <c r="G13" s="25" t="s">
        <v>47</v>
      </c>
    </row>
    <row r="14" customFormat="false" ht="15" hidden="false" customHeight="true" outlineLevel="0" collapsed="false">
      <c r="B14" s="16" t="s">
        <v>50</v>
      </c>
      <c r="C14" s="30" t="n">
        <v>18.5</v>
      </c>
      <c r="D14" s="30" t="n">
        <v>19.98</v>
      </c>
      <c r="E14" s="30" t="n">
        <v>16.65</v>
      </c>
      <c r="F14" s="31" t="n">
        <f aca="false">INDEX(C14:E14,MATCH($C$3,{"Base Case","Best Case","Worst Case"},0))</f>
        <v>18.5</v>
      </c>
      <c r="G14" s="25" t="s">
        <v>51</v>
      </c>
    </row>
    <row r="15" customFormat="false" ht="27.75" hidden="false" customHeight="true" outlineLevel="0" collapsed="false">
      <c r="B15" s="16" t="s">
        <v>52</v>
      </c>
      <c r="C15" s="32" t="n">
        <v>0.155</v>
      </c>
      <c r="D15" s="32" t="n">
        <v>0.155</v>
      </c>
      <c r="E15" s="32" t="n">
        <v>0.155</v>
      </c>
      <c r="F15" s="33" t="n">
        <f aca="false">INDEX(C15:E15,MATCH($C$3,{"Base Case","Best Case","Worst Case"},0))</f>
        <v>0.155</v>
      </c>
      <c r="G15" s="25" t="s">
        <v>53</v>
      </c>
    </row>
    <row r="16" customFormat="false" ht="15" hidden="false" customHeight="true" outlineLevel="0" collapsed="false">
      <c r="B16" s="16" t="s">
        <v>54</v>
      </c>
      <c r="C16" s="28" t="n">
        <v>0.85</v>
      </c>
      <c r="D16" s="28" t="n">
        <v>0.85</v>
      </c>
      <c r="E16" s="28" t="n">
        <v>0.85</v>
      </c>
      <c r="F16" s="29" t="n">
        <f aca="false">INDEX(C16:E16,MATCH($C$3,{"Base Case","Best Case","Worst Case"},0))</f>
        <v>0.85</v>
      </c>
      <c r="G16" s="25" t="s">
        <v>55</v>
      </c>
    </row>
    <row r="17" customFormat="false" ht="15" hidden="false" customHeight="true" outlineLevel="0" collapsed="false">
      <c r="B17" s="16" t="s">
        <v>56</v>
      </c>
      <c r="C17" s="32" t="n">
        <v>0.14</v>
      </c>
      <c r="D17" s="32" t="n">
        <v>0.14</v>
      </c>
      <c r="E17" s="32" t="n">
        <v>0.16</v>
      </c>
      <c r="F17" s="33" t="n">
        <f aca="false">INDEX(C17:E17,MATCH($C$3,{"Base Case","Best Case","Worst Case"},0))</f>
        <v>0.14</v>
      </c>
      <c r="G17" s="25" t="s">
        <v>57</v>
      </c>
    </row>
    <row r="19" customFormat="false" ht="15" hidden="false" customHeight="true" outlineLevel="0" collapsed="false">
      <c r="A19" s="9" t="s">
        <v>58</v>
      </c>
      <c r="B19" s="9"/>
      <c r="C19" s="9"/>
      <c r="D19" s="9"/>
      <c r="E19" s="9"/>
      <c r="F19" s="9"/>
      <c r="G19" s="9"/>
    </row>
    <row r="20" customFormat="false" ht="15" hidden="false" customHeight="true" outlineLevel="0" collapsed="false">
      <c r="B20" s="16" t="s">
        <v>59</v>
      </c>
      <c r="C20" s="23" t="n">
        <v>90</v>
      </c>
      <c r="D20" s="23" t="n">
        <v>90</v>
      </c>
      <c r="E20" s="23" t="n">
        <v>90</v>
      </c>
      <c r="F20" s="24" t="n">
        <f aca="false">INDEX(C20:E20,MATCH($C$3,{"Base Case","Best Case","Worst Case"},0))</f>
        <v>90</v>
      </c>
      <c r="G20" s="25" t="s">
        <v>60</v>
      </c>
    </row>
    <row r="21" customFormat="false" ht="15" hidden="false" customHeight="true" outlineLevel="0" collapsed="false">
      <c r="B21" s="16" t="s">
        <v>61</v>
      </c>
      <c r="C21" s="23" t="n">
        <v>1680</v>
      </c>
      <c r="D21" s="23" t="n">
        <v>1797.6</v>
      </c>
      <c r="E21" s="23" t="n">
        <v>1520</v>
      </c>
      <c r="F21" s="24" t="n">
        <f aca="false">INDEX(C21:E21,MATCH($C$3,{"Base Case","Best Case","Worst Case"},0))</f>
        <v>1680</v>
      </c>
      <c r="G21" s="25" t="s">
        <v>62</v>
      </c>
    </row>
    <row r="22" customFormat="false" ht="15" hidden="false" customHeight="true" outlineLevel="0" collapsed="false">
      <c r="B22" s="16" t="s">
        <v>63</v>
      </c>
      <c r="C22" s="34" t="n">
        <v>0.005</v>
      </c>
      <c r="D22" s="34" t="n">
        <v>0.005</v>
      </c>
      <c r="E22" s="34" t="n">
        <v>0.005</v>
      </c>
      <c r="F22" s="35" t="n">
        <f aca="false">INDEX(C22:E22,MATCH($C$3,{"Base Case","Best Case","Worst Case"},0))</f>
        <v>0.005</v>
      </c>
      <c r="G22" s="25" t="s">
        <v>64</v>
      </c>
    </row>
    <row r="23" customFormat="false" ht="15" hidden="false" customHeight="true" outlineLevel="0" collapsed="false">
      <c r="B23" s="16" t="s">
        <v>65</v>
      </c>
      <c r="C23" s="28" t="n">
        <v>0.03</v>
      </c>
      <c r="D23" s="28" t="n">
        <v>0.025</v>
      </c>
      <c r="E23" s="28" t="n">
        <v>0.06</v>
      </c>
      <c r="F23" s="29" t="n">
        <f aca="false">INDEX(C23:E23,MATCH($C$3,{"Base Case","Best Case","Worst Case"},0))</f>
        <v>0.03</v>
      </c>
      <c r="G23" s="25" t="s">
        <v>66</v>
      </c>
    </row>
    <row r="24" customFormat="false" ht="15" hidden="false" customHeight="true" outlineLevel="0" collapsed="false">
      <c r="B24" s="16" t="s">
        <v>67</v>
      </c>
      <c r="C24" s="23" t="n">
        <v>60</v>
      </c>
      <c r="D24" s="23" t="n">
        <v>60</v>
      </c>
      <c r="E24" s="23" t="n">
        <v>60</v>
      </c>
      <c r="F24" s="24" t="n">
        <f aca="false">INDEX(C24:E24,MATCH($C$3,{"Base Case","Best Case","Worst Case"},0))</f>
        <v>60</v>
      </c>
      <c r="G24" s="25" t="s">
        <v>68</v>
      </c>
    </row>
    <row r="25" customFormat="false" ht="15" hidden="false" customHeight="true" outlineLevel="0" collapsed="false">
      <c r="B25" s="16" t="s">
        <v>69</v>
      </c>
      <c r="C25" s="28" t="n">
        <v>0.9</v>
      </c>
      <c r="D25" s="28" t="n">
        <v>0.9</v>
      </c>
      <c r="E25" s="28" t="n">
        <v>0.9</v>
      </c>
      <c r="F25" s="29" t="n">
        <f aca="false">INDEX(C25:E25,MATCH($C$3,{"Base Case","Best Case","Worst Case"},0))</f>
        <v>0.9</v>
      </c>
      <c r="G25" s="25" t="s">
        <v>64</v>
      </c>
    </row>
    <row r="26" customFormat="false" ht="15" hidden="false" customHeight="true" outlineLevel="0" collapsed="false">
      <c r="B26" s="16" t="s">
        <v>70</v>
      </c>
      <c r="C26" s="28" t="n">
        <v>0.3</v>
      </c>
      <c r="D26" s="28" t="n">
        <v>0.3</v>
      </c>
      <c r="E26" s="28" t="n">
        <v>0.3</v>
      </c>
      <c r="F26" s="29" t="n">
        <f aca="false">INDEX(C26:E26,MATCH($C$3,{"Base Case","Best Case","Worst Case"},0))</f>
        <v>0.3</v>
      </c>
      <c r="G26" s="25" t="s">
        <v>71</v>
      </c>
    </row>
    <row r="27" customFormat="false" ht="15" hidden="false" customHeight="true" outlineLevel="0" collapsed="false">
      <c r="B27" s="16" t="s">
        <v>72</v>
      </c>
      <c r="C27" s="23" t="n">
        <v>15</v>
      </c>
      <c r="D27" s="23" t="n">
        <v>15</v>
      </c>
      <c r="E27" s="23" t="n">
        <v>15</v>
      </c>
      <c r="F27" s="24" t="n">
        <f aca="false">INDEX(C27:E27,MATCH($C$3,{"Base Case","Best Case","Worst Case"},0))</f>
        <v>15</v>
      </c>
      <c r="G27" s="25" t="s">
        <v>73</v>
      </c>
    </row>
    <row r="28" customFormat="false" ht="15" hidden="false" customHeight="true" outlineLevel="0" collapsed="false">
      <c r="B28" s="16" t="s">
        <v>74</v>
      </c>
      <c r="C28" s="28" t="n">
        <v>0.2</v>
      </c>
      <c r="D28" s="28" t="n">
        <v>0.2</v>
      </c>
      <c r="E28" s="28" t="n">
        <v>0.2</v>
      </c>
      <c r="F28" s="29" t="n">
        <f aca="false">INDEX(C28:E28,MATCH($C$3,{"Base Case","Best Case","Worst Case"},0))</f>
        <v>0.2</v>
      </c>
      <c r="G28" s="25" t="s">
        <v>75</v>
      </c>
    </row>
    <row r="29" customFormat="false" ht="15" hidden="false" customHeight="true" outlineLevel="0" collapsed="false">
      <c r="B29" s="16" t="s">
        <v>76</v>
      </c>
      <c r="C29" s="23" t="n">
        <v>16</v>
      </c>
      <c r="D29" s="23" t="n">
        <v>16</v>
      </c>
      <c r="E29" s="23" t="n">
        <v>16</v>
      </c>
      <c r="F29" s="24" t="n">
        <f aca="false">INDEX(C29:E29,MATCH($C$3,{"Base Case","Best Case","Worst Case"},0))</f>
        <v>16</v>
      </c>
      <c r="G29" s="25" t="s">
        <v>77</v>
      </c>
    </row>
    <row r="31" customFormat="false" ht="15" hidden="false" customHeight="true" outlineLevel="0" collapsed="false">
      <c r="A31" s="9" t="s">
        <v>78</v>
      </c>
      <c r="B31" s="9"/>
      <c r="C31" s="9"/>
      <c r="D31" s="9"/>
      <c r="E31" s="9"/>
      <c r="F31" s="9"/>
      <c r="G31" s="9"/>
    </row>
    <row r="32" customFormat="false" ht="15" hidden="false" customHeight="true" outlineLevel="0" collapsed="false">
      <c r="B32" s="16" t="s">
        <v>79</v>
      </c>
      <c r="C32" s="32" t="n">
        <v>9.5</v>
      </c>
      <c r="D32" s="32" t="n">
        <v>8.835</v>
      </c>
      <c r="E32" s="32" t="n">
        <v>10.64</v>
      </c>
      <c r="F32" s="33" t="n">
        <f aca="false">INDEX(C32:E32,MATCH($C$3,{"Base Case","Best Case","Worst Case"},0))</f>
        <v>9.5</v>
      </c>
      <c r="G32" s="25" t="s">
        <v>80</v>
      </c>
    </row>
    <row r="33" customFormat="false" ht="15" hidden="false" customHeight="true" outlineLevel="0" collapsed="false">
      <c r="B33" s="16" t="s">
        <v>81</v>
      </c>
      <c r="C33" s="36" t="n">
        <v>1.15</v>
      </c>
      <c r="D33" s="36" t="n">
        <v>1.0695</v>
      </c>
      <c r="E33" s="36" t="n">
        <v>1.288</v>
      </c>
      <c r="F33" s="37" t="n">
        <f aca="false">INDEX(C33:E33,MATCH($C$3,{"Base Case","Best Case","Worst Case"},0))</f>
        <v>1.15</v>
      </c>
      <c r="G33" s="25" t="s">
        <v>80</v>
      </c>
    </row>
    <row r="34" customFormat="false" ht="15" hidden="false" customHeight="true" outlineLevel="0" collapsed="false">
      <c r="B34" s="16" t="s">
        <v>82</v>
      </c>
      <c r="C34" s="38" t="n">
        <v>180</v>
      </c>
      <c r="D34" s="38" t="n">
        <v>180</v>
      </c>
      <c r="E34" s="38" t="n">
        <v>180</v>
      </c>
      <c r="F34" s="39" t="n">
        <f aca="false">INDEX(C34:E34,MATCH($C$3,{"Base Case","Best Case","Worst Case"},0))</f>
        <v>180</v>
      </c>
      <c r="G34" s="25" t="s">
        <v>64</v>
      </c>
    </row>
    <row r="35" customFormat="false" ht="15" hidden="false" customHeight="true" outlineLevel="0" collapsed="false">
      <c r="B35" s="16" t="s">
        <v>83</v>
      </c>
      <c r="C35" s="38" t="n">
        <v>18</v>
      </c>
      <c r="D35" s="38" t="n">
        <v>18</v>
      </c>
      <c r="E35" s="38" t="n">
        <v>18</v>
      </c>
      <c r="F35" s="39" t="n">
        <f aca="false">INDEX(C35:E35,MATCH($C$3,{"Base Case","Best Case","Worst Case"},0))</f>
        <v>18</v>
      </c>
      <c r="G35" s="25" t="s">
        <v>64</v>
      </c>
    </row>
    <row r="36" customFormat="false" ht="15" hidden="false" customHeight="true" outlineLevel="0" collapsed="false">
      <c r="B36" s="16" t="s">
        <v>84</v>
      </c>
      <c r="C36" s="38" t="n">
        <v>350</v>
      </c>
      <c r="D36" s="38" t="n">
        <v>350</v>
      </c>
      <c r="E36" s="38" t="n">
        <v>350</v>
      </c>
      <c r="F36" s="39" t="n">
        <f aca="false">INDEX(C36:E36,MATCH($C$3,{"Base Case","Best Case","Worst Case"},0))</f>
        <v>350</v>
      </c>
      <c r="G36" s="25" t="s">
        <v>64</v>
      </c>
    </row>
    <row r="38" customFormat="false" ht="15" hidden="false" customHeight="true" outlineLevel="0" collapsed="false">
      <c r="A38" s="9" t="s">
        <v>85</v>
      </c>
      <c r="B38" s="9"/>
      <c r="C38" s="9"/>
      <c r="D38" s="9"/>
      <c r="E38" s="9"/>
      <c r="F38" s="9"/>
      <c r="G38" s="9"/>
    </row>
    <row r="39" customFormat="false" ht="15" hidden="false" customHeight="true" outlineLevel="0" collapsed="false">
      <c r="B39" s="16" t="s">
        <v>86</v>
      </c>
      <c r="C39" s="23" t="n">
        <v>15</v>
      </c>
      <c r="D39" s="23" t="n">
        <v>15</v>
      </c>
      <c r="E39" s="23" t="n">
        <v>15</v>
      </c>
      <c r="F39" s="24" t="n">
        <f aca="false">INDEX(C39:E39,MATCH($C$3,{"Base Case","Best Case","Worst Case"},0))</f>
        <v>15</v>
      </c>
      <c r="G39" s="25" t="s">
        <v>87</v>
      </c>
    </row>
    <row r="40" customFormat="false" ht="15" hidden="false" customHeight="true" outlineLevel="0" collapsed="false">
      <c r="B40" s="16" t="s">
        <v>88</v>
      </c>
      <c r="C40" s="34" t="n">
        <v>0.0775</v>
      </c>
      <c r="D40" s="34" t="n">
        <v>0.07</v>
      </c>
      <c r="E40" s="34" t="n">
        <v>0.09</v>
      </c>
      <c r="F40" s="35" t="n">
        <f aca="false">INDEX(C40:E40,MATCH($C$3,{"Base Case","Best Case","Worst Case"},0))</f>
        <v>0.0775</v>
      </c>
      <c r="G40" s="25" t="s">
        <v>89</v>
      </c>
    </row>
    <row r="41" customFormat="false" ht="15" hidden="false" customHeight="true" outlineLevel="0" collapsed="false">
      <c r="B41" s="16" t="s">
        <v>90</v>
      </c>
      <c r="C41" s="34" t="n">
        <v>0.0175</v>
      </c>
      <c r="D41" s="34" t="n">
        <v>0.0175</v>
      </c>
      <c r="E41" s="34" t="n">
        <v>0.0175</v>
      </c>
      <c r="F41" s="35" t="n">
        <f aca="false">INDEX(C41:E41,MATCH($C$3,{"Base Case","Best Case","Worst Case"},0))</f>
        <v>0.0175</v>
      </c>
      <c r="G41" s="25" t="s">
        <v>64</v>
      </c>
    </row>
    <row r="42" customFormat="false" ht="15" hidden="false" customHeight="true" outlineLevel="0" collapsed="false">
      <c r="B42" s="16" t="s">
        <v>91</v>
      </c>
      <c r="C42" s="23" t="n">
        <v>6</v>
      </c>
      <c r="D42" s="23" t="n">
        <v>6</v>
      </c>
      <c r="E42" s="23" t="n">
        <v>6</v>
      </c>
      <c r="F42" s="24" t="n">
        <f aca="false">INDEX(C42:E42,MATCH($C$3,{"Base Case","Best Case","Worst Case"},0))</f>
        <v>6</v>
      </c>
      <c r="G42" s="25" t="s">
        <v>64</v>
      </c>
    </row>
    <row r="43" customFormat="false" ht="15" hidden="false" customHeight="true" outlineLevel="0" collapsed="false">
      <c r="B43" s="16" t="s">
        <v>92</v>
      </c>
      <c r="C43" s="40" t="n">
        <v>1.35</v>
      </c>
      <c r="D43" s="40" t="n">
        <v>1.35</v>
      </c>
      <c r="E43" s="40" t="n">
        <v>1.35</v>
      </c>
      <c r="F43" s="41" t="n">
        <f aca="false">INDEX(C43:E43,MATCH($C$3,{"Base Case","Best Case","Worst Case"},0))</f>
        <v>1.35</v>
      </c>
      <c r="G43" s="25" t="s">
        <v>93</v>
      </c>
    </row>
    <row r="44" customFormat="false" ht="15" hidden="false" customHeight="true" outlineLevel="0" collapsed="false">
      <c r="B44" s="16" t="s">
        <v>94</v>
      </c>
      <c r="C44" s="28" t="n">
        <v>0.65</v>
      </c>
      <c r="D44" s="28" t="n">
        <v>0.65</v>
      </c>
      <c r="E44" s="28" t="n">
        <v>0.65</v>
      </c>
      <c r="F44" s="29" t="n">
        <f aca="false">INDEX(C44:E44,MATCH($C$3,{"Base Case","Best Case","Worst Case"},0))</f>
        <v>0.65</v>
      </c>
      <c r="G44" s="25" t="s">
        <v>95</v>
      </c>
    </row>
    <row r="45" customFormat="false" ht="27.75" hidden="false" customHeight="true" outlineLevel="0" collapsed="false">
      <c r="B45" s="16" t="s">
        <v>96</v>
      </c>
      <c r="C45" s="23" t="n">
        <v>1</v>
      </c>
      <c r="D45" s="23" t="n">
        <v>1</v>
      </c>
      <c r="E45" s="23" t="n">
        <v>1</v>
      </c>
      <c r="F45" s="24" t="n">
        <f aca="false">INDEX(C45:E45,MATCH($C$3,{"Base Case","Best Case","Worst Case"},0))</f>
        <v>1</v>
      </c>
      <c r="G45" s="25" t="s">
        <v>97</v>
      </c>
    </row>
    <row r="47" customFormat="false" ht="15" hidden="false" customHeight="true" outlineLevel="0" collapsed="false">
      <c r="A47" s="9" t="s">
        <v>98</v>
      </c>
      <c r="B47" s="9"/>
      <c r="C47" s="9"/>
      <c r="D47" s="9"/>
      <c r="E47" s="9"/>
      <c r="F47" s="9"/>
      <c r="G47" s="9"/>
    </row>
    <row r="48" customFormat="false" ht="15" hidden="false" customHeight="true" outlineLevel="0" collapsed="false">
      <c r="B48" s="16" t="s">
        <v>99</v>
      </c>
      <c r="C48" s="34" t="n">
        <v>0.022</v>
      </c>
      <c r="D48" s="34" t="n">
        <v>0.022</v>
      </c>
      <c r="E48" s="34" t="n">
        <v>0.022</v>
      </c>
      <c r="F48" s="35" t="n">
        <f aca="false">INDEX(C48:E48,MATCH($C$3,{"Base Case","Best Case","Worst Case"},0))</f>
        <v>0.022</v>
      </c>
      <c r="G48" s="25" t="s">
        <v>64</v>
      </c>
    </row>
    <row r="49" customFormat="false" ht="15" hidden="false" customHeight="true" outlineLevel="0" collapsed="false">
      <c r="B49" s="16" t="s">
        <v>100</v>
      </c>
      <c r="C49" s="28" t="n">
        <v>0.25</v>
      </c>
      <c r="D49" s="28" t="n">
        <v>0.25</v>
      </c>
      <c r="E49" s="28" t="n">
        <v>0.25</v>
      </c>
      <c r="F49" s="29" t="n">
        <f aca="false">INDEX(C49:E49,MATCH($C$3,{"Base Case","Best Case","Worst Case"},0))</f>
        <v>0.25</v>
      </c>
      <c r="G49" s="25" t="s">
        <v>64</v>
      </c>
    </row>
    <row r="50" customFormat="false" ht="15" hidden="false" customHeight="true" outlineLevel="0" collapsed="false">
      <c r="B50" s="16" t="s">
        <v>101</v>
      </c>
      <c r="C50" s="23" t="n">
        <v>11</v>
      </c>
      <c r="D50" s="23" t="n">
        <v>11</v>
      </c>
      <c r="E50" s="23" t="n">
        <v>11</v>
      </c>
      <c r="F50" s="24" t="n">
        <f aca="false">INDEX(C50:E50,MATCH($C$3,{"Base Case","Best Case","Worst Case"},0))</f>
        <v>11</v>
      </c>
      <c r="G50" s="25" t="s">
        <v>102</v>
      </c>
    </row>
    <row r="51" customFormat="false" ht="15" hidden="false" customHeight="true" outlineLevel="0" collapsed="false">
      <c r="B51" s="16" t="s">
        <v>103</v>
      </c>
      <c r="C51" s="23" t="n">
        <v>12</v>
      </c>
      <c r="D51" s="23" t="n">
        <v>12</v>
      </c>
      <c r="E51" s="23" t="n">
        <v>12</v>
      </c>
      <c r="F51" s="24" t="n">
        <f aca="false">INDEX(C51:E51,MATCH($C$3,{"Base Case","Best Case","Worst Case"},0))</f>
        <v>12</v>
      </c>
      <c r="G51" s="25" t="s">
        <v>104</v>
      </c>
    </row>
    <row r="52" customFormat="false" ht="15" hidden="false" customHeight="true" outlineLevel="0" collapsed="false">
      <c r="B52" s="16" t="s">
        <v>105</v>
      </c>
      <c r="C52" s="28" t="n">
        <v>0.12</v>
      </c>
      <c r="D52" s="28" t="n">
        <v>0.12</v>
      </c>
      <c r="E52" s="28" t="n">
        <v>0.12</v>
      </c>
      <c r="F52" s="29" t="n">
        <f aca="false">INDEX(C52:E52,MATCH($C$3,{"Base Case","Best Case","Worst Case"},0))</f>
        <v>0.12</v>
      </c>
      <c r="G52" s="25" t="s">
        <v>64</v>
      </c>
    </row>
    <row r="54" customFormat="false" ht="15" hidden="false" customHeight="true" outlineLevel="0" collapsed="false">
      <c r="A54" s="9" t="s">
        <v>106</v>
      </c>
      <c r="B54" s="9"/>
      <c r="C54" s="9"/>
      <c r="D54" s="9"/>
      <c r="E54" s="9"/>
      <c r="F54" s="9"/>
      <c r="G54" s="9"/>
    </row>
    <row r="55" customFormat="false" ht="15" hidden="false" customHeight="true" outlineLevel="0" collapsed="false">
      <c r="B55" s="16" t="s">
        <v>107</v>
      </c>
      <c r="C55" s="42" t="n">
        <v>46204</v>
      </c>
      <c r="F55" s="43" t="n">
        <f aca="false">C55</f>
        <v>46204</v>
      </c>
    </row>
    <row r="56" customFormat="false" ht="15" hidden="false" customHeight="true" outlineLevel="0" collapsed="false">
      <c r="B56" s="16" t="s">
        <v>23</v>
      </c>
      <c r="C56" s="42" t="n">
        <v>46935</v>
      </c>
      <c r="F56" s="43" t="n">
        <f aca="false">C56</f>
        <v>46935</v>
      </c>
    </row>
    <row r="57" customFormat="false" ht="15" hidden="false" customHeight="true" outlineLevel="0" collapsed="false">
      <c r="B57" s="16" t="s">
        <v>108</v>
      </c>
      <c r="C57" s="23" t="n">
        <v>24</v>
      </c>
      <c r="F57" s="24" t="n">
        <f aca="false">C57</f>
        <v>24</v>
      </c>
    </row>
    <row r="58" customFormat="false" ht="15" hidden="false" customHeight="true" outlineLevel="0" collapsed="false">
      <c r="B58" s="16" t="s">
        <v>109</v>
      </c>
      <c r="C58" s="23" t="n">
        <v>30</v>
      </c>
      <c r="F58" s="24" t="n">
        <f aca="false">C58</f>
        <v>30</v>
      </c>
    </row>
  </sheetData>
  <mergeCells count="8">
    <mergeCell ref="B1:G1"/>
    <mergeCell ref="C3:D3"/>
    <mergeCell ref="A8:G8"/>
    <mergeCell ref="A19:G19"/>
    <mergeCell ref="A31:G31"/>
    <mergeCell ref="A38:G38"/>
    <mergeCell ref="A47:G47"/>
    <mergeCell ref="A54:G5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28B22"/>
    <pageSetUpPr fitToPage="false"/>
  </sheetPr>
  <dimension ref="A1:AF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30"/>
    <col collapsed="false" customWidth="true" hidden="false" outlineLevel="0" max="32" min="3" style="1" width="11"/>
  </cols>
  <sheetData>
    <row r="1" customFormat="false" ht="15.75" hidden="false" customHeight="true" outlineLevel="0" collapsed="false">
      <c r="B1" s="44" t="s">
        <v>110</v>
      </c>
      <c r="C1" s="44"/>
      <c r="D1" s="44"/>
      <c r="E1" s="44"/>
      <c r="F1" s="44"/>
    </row>
    <row r="3" customFormat="false" ht="15" hidden="false" customHeight="true" outlineLevel="0" collapsed="false">
      <c r="A3" s="9" t="s">
        <v>111</v>
      </c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 customFormat="false" ht="15" hidden="false" customHeight="true" outlineLevel="0" collapsed="false">
      <c r="B4" s="45" t="s">
        <v>112</v>
      </c>
      <c r="C4" s="46" t="n">
        <v>1</v>
      </c>
      <c r="D4" s="46" t="n">
        <v>2</v>
      </c>
      <c r="E4" s="46" t="n">
        <v>3</v>
      </c>
      <c r="F4" s="46" t="n">
        <v>4</v>
      </c>
      <c r="G4" s="46" t="n">
        <v>5</v>
      </c>
      <c r="H4" s="46" t="n">
        <v>6</v>
      </c>
      <c r="I4" s="46" t="n">
        <v>7</v>
      </c>
      <c r="J4" s="46" t="n">
        <v>8</v>
      </c>
      <c r="K4" s="46" t="n">
        <v>9</v>
      </c>
      <c r="L4" s="46" t="n">
        <v>10</v>
      </c>
      <c r="M4" s="46" t="n">
        <v>11</v>
      </c>
      <c r="N4" s="46" t="n">
        <v>12</v>
      </c>
      <c r="O4" s="46" t="n">
        <v>13</v>
      </c>
      <c r="P4" s="46" t="n">
        <v>14</v>
      </c>
      <c r="Q4" s="46" t="n">
        <v>15</v>
      </c>
      <c r="R4" s="46" t="n">
        <v>16</v>
      </c>
      <c r="S4" s="46" t="n">
        <v>17</v>
      </c>
      <c r="T4" s="46" t="n">
        <v>18</v>
      </c>
      <c r="U4" s="46" t="n">
        <v>19</v>
      </c>
      <c r="V4" s="46" t="n">
        <v>20</v>
      </c>
      <c r="W4" s="46" t="n">
        <v>21</v>
      </c>
      <c r="X4" s="46" t="n">
        <v>22</v>
      </c>
      <c r="Y4" s="46" t="n">
        <v>23</v>
      </c>
      <c r="Z4" s="46" t="n">
        <v>24</v>
      </c>
    </row>
    <row r="5" customFormat="false" ht="15" hidden="false" customHeight="true" outlineLevel="0" collapsed="false">
      <c r="B5" s="47" t="s">
        <v>113</v>
      </c>
      <c r="C5" s="48" t="n">
        <f aca="false">EDATE(Assumptions!$C$55,0)</f>
        <v>46204</v>
      </c>
      <c r="D5" s="48" t="n">
        <f aca="false">EDATE(C5,1)</f>
        <v>46235</v>
      </c>
      <c r="E5" s="48" t="n">
        <f aca="false">EDATE(D5,1)</f>
        <v>46266</v>
      </c>
      <c r="F5" s="48" t="n">
        <f aca="false">EDATE(E5,1)</f>
        <v>46296</v>
      </c>
      <c r="G5" s="48" t="n">
        <f aca="false">EDATE(F5,1)</f>
        <v>46327</v>
      </c>
      <c r="H5" s="48" t="n">
        <f aca="false">EDATE(G5,1)</f>
        <v>46357</v>
      </c>
      <c r="I5" s="48" t="n">
        <f aca="false">EDATE(H5,1)</f>
        <v>46388</v>
      </c>
      <c r="J5" s="48" t="n">
        <f aca="false">EDATE(I5,1)</f>
        <v>46419</v>
      </c>
      <c r="K5" s="48" t="n">
        <f aca="false">EDATE(J5,1)</f>
        <v>46447</v>
      </c>
      <c r="L5" s="48" t="n">
        <f aca="false">EDATE(K5,1)</f>
        <v>46478</v>
      </c>
      <c r="M5" s="48" t="n">
        <f aca="false">EDATE(L5,1)</f>
        <v>46508</v>
      </c>
      <c r="N5" s="48" t="n">
        <f aca="false">EDATE(M5,1)</f>
        <v>46539</v>
      </c>
      <c r="O5" s="48" t="n">
        <f aca="false">EDATE(N5,1)</f>
        <v>46569</v>
      </c>
      <c r="P5" s="48" t="n">
        <f aca="false">EDATE(O5,1)</f>
        <v>46600</v>
      </c>
      <c r="Q5" s="48" t="n">
        <f aca="false">EDATE(P5,1)</f>
        <v>46631</v>
      </c>
      <c r="R5" s="48" t="n">
        <f aca="false">EDATE(Q5,1)</f>
        <v>46661</v>
      </c>
      <c r="S5" s="48" t="n">
        <f aca="false">EDATE(R5,1)</f>
        <v>46692</v>
      </c>
      <c r="T5" s="48" t="n">
        <f aca="false">EDATE(S5,1)</f>
        <v>46722</v>
      </c>
      <c r="U5" s="48" t="n">
        <f aca="false">EDATE(T5,1)</f>
        <v>46753</v>
      </c>
      <c r="V5" s="48" t="n">
        <f aca="false">EDATE(U5,1)</f>
        <v>46784</v>
      </c>
      <c r="W5" s="48" t="n">
        <f aca="false">EDATE(V5,1)</f>
        <v>46813</v>
      </c>
      <c r="X5" s="48" t="n">
        <f aca="false">EDATE(W5,1)</f>
        <v>46844</v>
      </c>
      <c r="Y5" s="48" t="n">
        <f aca="false">EDATE(X5,1)</f>
        <v>46874</v>
      </c>
      <c r="Z5" s="48" t="n">
        <f aca="false">EDATE(Y5,1)</f>
        <v>46905</v>
      </c>
    </row>
    <row r="6" customFormat="false" ht="15" hidden="false" customHeight="true" outlineLevel="0" collapsed="false">
      <c r="B6" s="47" t="s">
        <v>114</v>
      </c>
      <c r="C6" s="48" t="n">
        <f aca="false">EDATE(C5,1)-1</f>
        <v>46234</v>
      </c>
      <c r="D6" s="48" t="n">
        <f aca="false">EDATE(D5,1)-1</f>
        <v>46265</v>
      </c>
      <c r="E6" s="48" t="n">
        <f aca="false">EDATE(E5,1)-1</f>
        <v>46295</v>
      </c>
      <c r="F6" s="48" t="n">
        <f aca="false">EDATE(F5,1)-1</f>
        <v>46326</v>
      </c>
      <c r="G6" s="48" t="n">
        <f aca="false">EDATE(G5,1)-1</f>
        <v>46356</v>
      </c>
      <c r="H6" s="48" t="n">
        <f aca="false">EDATE(H5,1)-1</f>
        <v>46387</v>
      </c>
      <c r="I6" s="48" t="n">
        <f aca="false">EDATE(I5,1)-1</f>
        <v>46418</v>
      </c>
      <c r="J6" s="48" t="n">
        <f aca="false">EDATE(J5,1)-1</f>
        <v>46446</v>
      </c>
      <c r="K6" s="48" t="n">
        <f aca="false">EDATE(K5,1)-1</f>
        <v>46477</v>
      </c>
      <c r="L6" s="48" t="n">
        <f aca="false">EDATE(L5,1)-1</f>
        <v>46507</v>
      </c>
      <c r="M6" s="48" t="n">
        <f aca="false">EDATE(M5,1)-1</f>
        <v>46538</v>
      </c>
      <c r="N6" s="48" t="n">
        <f aca="false">EDATE(N5,1)-1</f>
        <v>46568</v>
      </c>
      <c r="O6" s="48" t="n">
        <f aca="false">EDATE(O5,1)-1</f>
        <v>46599</v>
      </c>
      <c r="P6" s="48" t="n">
        <f aca="false">EDATE(P5,1)-1</f>
        <v>46630</v>
      </c>
      <c r="Q6" s="48" t="n">
        <f aca="false">EDATE(Q5,1)-1</f>
        <v>46660</v>
      </c>
      <c r="R6" s="48" t="n">
        <f aca="false">EDATE(R5,1)-1</f>
        <v>46691</v>
      </c>
      <c r="S6" s="48" t="n">
        <f aca="false">EDATE(S5,1)-1</f>
        <v>46721</v>
      </c>
      <c r="T6" s="48" t="n">
        <f aca="false">EDATE(T5,1)-1</f>
        <v>46752</v>
      </c>
      <c r="U6" s="48" t="n">
        <f aca="false">EDATE(U5,1)-1</f>
        <v>46783</v>
      </c>
      <c r="V6" s="48" t="n">
        <f aca="false">EDATE(V5,1)-1</f>
        <v>46812</v>
      </c>
      <c r="W6" s="48" t="n">
        <f aca="false">EDATE(W5,1)-1</f>
        <v>46843</v>
      </c>
      <c r="X6" s="48" t="n">
        <f aca="false">EDATE(X5,1)-1</f>
        <v>46873</v>
      </c>
      <c r="Y6" s="48" t="n">
        <f aca="false">EDATE(Y5,1)-1</f>
        <v>46904</v>
      </c>
      <c r="Z6" s="48" t="n">
        <f aca="false">EDATE(Z5,1)-1</f>
        <v>46934</v>
      </c>
    </row>
    <row r="7" customFormat="false" ht="15" hidden="false" customHeight="true" outlineLevel="0" collapsed="false">
      <c r="B7" s="47" t="s">
        <v>115</v>
      </c>
      <c r="C7" s="49" t="n">
        <f aca="false">C6-C5+1</f>
        <v>31</v>
      </c>
      <c r="D7" s="49" t="n">
        <f aca="false">D6-D5+1</f>
        <v>31</v>
      </c>
      <c r="E7" s="49" t="n">
        <f aca="false">E6-E5+1</f>
        <v>30</v>
      </c>
      <c r="F7" s="49" t="n">
        <f aca="false">F6-F5+1</f>
        <v>31</v>
      </c>
      <c r="G7" s="49" t="n">
        <f aca="false">G6-G5+1</f>
        <v>30</v>
      </c>
      <c r="H7" s="49" t="n">
        <f aca="false">H6-H5+1</f>
        <v>31</v>
      </c>
      <c r="I7" s="49" t="n">
        <f aca="false">I6-I5+1</f>
        <v>31</v>
      </c>
      <c r="J7" s="49" t="n">
        <f aca="false">J6-J5+1</f>
        <v>28</v>
      </c>
      <c r="K7" s="49" t="n">
        <f aca="false">K6-K5+1</f>
        <v>31</v>
      </c>
      <c r="L7" s="49" t="n">
        <f aca="false">L6-L5+1</f>
        <v>30</v>
      </c>
      <c r="M7" s="49" t="n">
        <f aca="false">M6-M5+1</f>
        <v>31</v>
      </c>
      <c r="N7" s="49" t="n">
        <f aca="false">N6-N5+1</f>
        <v>30</v>
      </c>
      <c r="O7" s="49" t="n">
        <f aca="false">O6-O5+1</f>
        <v>31</v>
      </c>
      <c r="P7" s="49" t="n">
        <f aca="false">P6-P5+1</f>
        <v>31</v>
      </c>
      <c r="Q7" s="49" t="n">
        <f aca="false">Q6-Q5+1</f>
        <v>30</v>
      </c>
      <c r="R7" s="49" t="n">
        <f aca="false">R6-R5+1</f>
        <v>31</v>
      </c>
      <c r="S7" s="49" t="n">
        <f aca="false">S6-S5+1</f>
        <v>30</v>
      </c>
      <c r="T7" s="49" t="n">
        <f aca="false">T6-T5+1</f>
        <v>31</v>
      </c>
      <c r="U7" s="49" t="n">
        <f aca="false">U6-U5+1</f>
        <v>31</v>
      </c>
      <c r="V7" s="49" t="n">
        <f aca="false">V6-V5+1</f>
        <v>29</v>
      </c>
      <c r="W7" s="49" t="n">
        <f aca="false">W6-W5+1</f>
        <v>31</v>
      </c>
      <c r="X7" s="49" t="n">
        <f aca="false">X6-X5+1</f>
        <v>30</v>
      </c>
      <c r="Y7" s="49" t="n">
        <f aca="false">Y6-Y5+1</f>
        <v>31</v>
      </c>
      <c r="Z7" s="49" t="n">
        <f aca="false">Z6-Z5+1</f>
        <v>30</v>
      </c>
    </row>
    <row r="9" customFormat="false" ht="15" hidden="false" customHeight="true" outlineLevel="0" collapsed="false">
      <c r="A9" s="9" t="s">
        <v>116</v>
      </c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</row>
    <row r="10" customFormat="false" ht="15" hidden="false" customHeight="true" outlineLevel="0" collapsed="false">
      <c r="B10" s="45" t="s">
        <v>117</v>
      </c>
      <c r="C10" s="46" t="n">
        <v>1</v>
      </c>
      <c r="D10" s="46" t="n">
        <v>2</v>
      </c>
      <c r="E10" s="46" t="n">
        <v>3</v>
      </c>
      <c r="F10" s="46" t="n">
        <v>4</v>
      </c>
      <c r="G10" s="46" t="n">
        <v>5</v>
      </c>
      <c r="H10" s="46" t="n">
        <v>6</v>
      </c>
      <c r="I10" s="46" t="n">
        <v>7</v>
      </c>
      <c r="J10" s="46" t="n">
        <v>8</v>
      </c>
      <c r="K10" s="46" t="n">
        <v>9</v>
      </c>
      <c r="L10" s="46" t="n">
        <v>10</v>
      </c>
      <c r="M10" s="46" t="n">
        <v>11</v>
      </c>
      <c r="N10" s="46" t="n">
        <v>12</v>
      </c>
      <c r="O10" s="46" t="n">
        <v>13</v>
      </c>
      <c r="P10" s="46" t="n">
        <v>14</v>
      </c>
      <c r="Q10" s="46" t="n">
        <v>15</v>
      </c>
      <c r="R10" s="46" t="n">
        <v>16</v>
      </c>
      <c r="S10" s="46" t="n">
        <v>17</v>
      </c>
      <c r="T10" s="46" t="n">
        <v>18</v>
      </c>
      <c r="U10" s="46" t="n">
        <v>19</v>
      </c>
      <c r="V10" s="46" t="n">
        <v>20</v>
      </c>
      <c r="W10" s="46" t="n">
        <v>21</v>
      </c>
      <c r="X10" s="46" t="n">
        <v>22</v>
      </c>
      <c r="Y10" s="46" t="n">
        <v>23</v>
      </c>
      <c r="Z10" s="46" t="n">
        <v>24</v>
      </c>
      <c r="AA10" s="46" t="n">
        <v>25</v>
      </c>
      <c r="AB10" s="46" t="n">
        <v>26</v>
      </c>
      <c r="AC10" s="46" t="n">
        <v>27</v>
      </c>
      <c r="AD10" s="46" t="n">
        <v>28</v>
      </c>
      <c r="AE10" s="46" t="n">
        <v>29</v>
      </c>
      <c r="AF10" s="46" t="n">
        <v>30</v>
      </c>
    </row>
    <row r="11" customFormat="false" ht="15" hidden="false" customHeight="true" outlineLevel="0" collapsed="false">
      <c r="B11" s="47" t="s">
        <v>118</v>
      </c>
      <c r="C11" s="48" t="n">
        <f aca="false">Assumptions!$C$56</f>
        <v>46935</v>
      </c>
      <c r="D11" s="48" t="n">
        <f aca="false">EDATE(C11,6)</f>
        <v>47119</v>
      </c>
      <c r="E11" s="48" t="n">
        <f aca="false">EDATE(D11,6)</f>
        <v>47300</v>
      </c>
      <c r="F11" s="48" t="n">
        <f aca="false">EDATE(E11,6)</f>
        <v>47484</v>
      </c>
      <c r="G11" s="48" t="n">
        <f aca="false">EDATE(F11,6)</f>
        <v>47665</v>
      </c>
      <c r="H11" s="48" t="n">
        <f aca="false">EDATE(G11,6)</f>
        <v>47849</v>
      </c>
      <c r="I11" s="48" t="n">
        <f aca="false">EDATE(H11,6)</f>
        <v>48030</v>
      </c>
      <c r="J11" s="48" t="n">
        <f aca="false">EDATE(I11,6)</f>
        <v>48214</v>
      </c>
      <c r="K11" s="48" t="n">
        <f aca="false">EDATE(J11,6)</f>
        <v>48396</v>
      </c>
      <c r="L11" s="48" t="n">
        <f aca="false">EDATE(K11,6)</f>
        <v>48580</v>
      </c>
      <c r="M11" s="48" t="n">
        <f aca="false">EDATE(L11,6)</f>
        <v>48761</v>
      </c>
      <c r="N11" s="48" t="n">
        <f aca="false">EDATE(M11,6)</f>
        <v>48945</v>
      </c>
      <c r="O11" s="48" t="n">
        <f aca="false">EDATE(N11,6)</f>
        <v>49126</v>
      </c>
      <c r="P11" s="48" t="n">
        <f aca="false">EDATE(O11,6)</f>
        <v>49310</v>
      </c>
      <c r="Q11" s="48" t="n">
        <f aca="false">EDATE(P11,6)</f>
        <v>49491</v>
      </c>
      <c r="R11" s="48" t="n">
        <f aca="false">EDATE(Q11,6)</f>
        <v>49675</v>
      </c>
      <c r="S11" s="48" t="n">
        <f aca="false">EDATE(R11,6)</f>
        <v>49857</v>
      </c>
      <c r="T11" s="48" t="n">
        <f aca="false">EDATE(S11,6)</f>
        <v>50041</v>
      </c>
      <c r="U11" s="48" t="n">
        <f aca="false">EDATE(T11,6)</f>
        <v>50222</v>
      </c>
      <c r="V11" s="48" t="n">
        <f aca="false">EDATE(U11,6)</f>
        <v>50406</v>
      </c>
      <c r="W11" s="48" t="n">
        <f aca="false">EDATE(V11,6)</f>
        <v>50587</v>
      </c>
      <c r="X11" s="48" t="n">
        <f aca="false">EDATE(W11,6)</f>
        <v>50771</v>
      </c>
      <c r="Y11" s="48" t="n">
        <f aca="false">EDATE(X11,6)</f>
        <v>50952</v>
      </c>
      <c r="Z11" s="48" t="n">
        <f aca="false">EDATE(Y11,6)</f>
        <v>51136</v>
      </c>
      <c r="AA11" s="48" t="n">
        <f aca="false">EDATE(Z11,6)</f>
        <v>51318</v>
      </c>
      <c r="AB11" s="48" t="n">
        <f aca="false">EDATE(AA11,6)</f>
        <v>51502</v>
      </c>
      <c r="AC11" s="48" t="n">
        <f aca="false">EDATE(AB11,6)</f>
        <v>51683</v>
      </c>
      <c r="AD11" s="48" t="n">
        <f aca="false">EDATE(AC11,6)</f>
        <v>51867</v>
      </c>
      <c r="AE11" s="48" t="n">
        <f aca="false">EDATE(AD11,6)</f>
        <v>52048</v>
      </c>
      <c r="AF11" s="48" t="n">
        <f aca="false">EDATE(AE11,6)</f>
        <v>52232</v>
      </c>
    </row>
    <row r="12" customFormat="false" ht="15" hidden="false" customHeight="true" outlineLevel="0" collapsed="false">
      <c r="B12" s="47" t="s">
        <v>119</v>
      </c>
      <c r="C12" s="48" t="n">
        <f aca="false">EDATE(C11,6)-1</f>
        <v>47118</v>
      </c>
      <c r="D12" s="48" t="n">
        <f aca="false">EDATE(D11,6)-1</f>
        <v>47299</v>
      </c>
      <c r="E12" s="48" t="n">
        <f aca="false">EDATE(E11,6)-1</f>
        <v>47483</v>
      </c>
      <c r="F12" s="48" t="n">
        <f aca="false">EDATE(F11,6)-1</f>
        <v>47664</v>
      </c>
      <c r="G12" s="48" t="n">
        <f aca="false">EDATE(G11,6)-1</f>
        <v>47848</v>
      </c>
      <c r="H12" s="48" t="n">
        <f aca="false">EDATE(H11,6)-1</f>
        <v>48029</v>
      </c>
      <c r="I12" s="48" t="n">
        <f aca="false">EDATE(I11,6)-1</f>
        <v>48213</v>
      </c>
      <c r="J12" s="48" t="n">
        <f aca="false">EDATE(J11,6)-1</f>
        <v>48395</v>
      </c>
      <c r="K12" s="48" t="n">
        <f aca="false">EDATE(K11,6)-1</f>
        <v>48579</v>
      </c>
      <c r="L12" s="48" t="n">
        <f aca="false">EDATE(L11,6)-1</f>
        <v>48760</v>
      </c>
      <c r="M12" s="48" t="n">
        <f aca="false">EDATE(M11,6)-1</f>
        <v>48944</v>
      </c>
      <c r="N12" s="48" t="n">
        <f aca="false">EDATE(N11,6)-1</f>
        <v>49125</v>
      </c>
      <c r="O12" s="48" t="n">
        <f aca="false">EDATE(O11,6)-1</f>
        <v>49309</v>
      </c>
      <c r="P12" s="48" t="n">
        <f aca="false">EDATE(P11,6)-1</f>
        <v>49490</v>
      </c>
      <c r="Q12" s="48" t="n">
        <f aca="false">EDATE(Q11,6)-1</f>
        <v>49674</v>
      </c>
      <c r="R12" s="48" t="n">
        <f aca="false">EDATE(R11,6)-1</f>
        <v>49856</v>
      </c>
      <c r="S12" s="48" t="n">
        <f aca="false">EDATE(S11,6)-1</f>
        <v>50040</v>
      </c>
      <c r="T12" s="48" t="n">
        <f aca="false">EDATE(T11,6)-1</f>
        <v>50221</v>
      </c>
      <c r="U12" s="48" t="n">
        <f aca="false">EDATE(U11,6)-1</f>
        <v>50405</v>
      </c>
      <c r="V12" s="48" t="n">
        <f aca="false">EDATE(V11,6)-1</f>
        <v>50586</v>
      </c>
      <c r="W12" s="48" t="n">
        <f aca="false">EDATE(W11,6)-1</f>
        <v>50770</v>
      </c>
      <c r="X12" s="48" t="n">
        <f aca="false">EDATE(X11,6)-1</f>
        <v>50951</v>
      </c>
      <c r="Y12" s="48" t="n">
        <f aca="false">EDATE(Y11,6)-1</f>
        <v>51135</v>
      </c>
      <c r="Z12" s="48" t="n">
        <f aca="false">EDATE(Z11,6)-1</f>
        <v>51317</v>
      </c>
      <c r="AA12" s="48" t="n">
        <f aca="false">EDATE(AA11,6)-1</f>
        <v>51501</v>
      </c>
      <c r="AB12" s="48" t="n">
        <f aca="false">EDATE(AB11,6)-1</f>
        <v>51682</v>
      </c>
      <c r="AC12" s="48" t="n">
        <f aca="false">EDATE(AC11,6)-1</f>
        <v>51866</v>
      </c>
      <c r="AD12" s="48" t="n">
        <f aca="false">EDATE(AD11,6)-1</f>
        <v>52047</v>
      </c>
      <c r="AE12" s="48" t="n">
        <f aca="false">EDATE(AE11,6)-1</f>
        <v>52231</v>
      </c>
      <c r="AF12" s="48" t="n">
        <f aca="false">EDATE(AF11,6)-1</f>
        <v>52412</v>
      </c>
    </row>
    <row r="13" customFormat="false" ht="15" hidden="false" customHeight="true" outlineLevel="0" collapsed="false">
      <c r="B13" s="47" t="s">
        <v>120</v>
      </c>
      <c r="C13" s="49" t="n">
        <v>6</v>
      </c>
      <c r="D13" s="49" t="n">
        <v>6</v>
      </c>
      <c r="E13" s="49" t="n">
        <v>6</v>
      </c>
      <c r="F13" s="49" t="n">
        <v>6</v>
      </c>
      <c r="G13" s="49" t="n">
        <v>6</v>
      </c>
      <c r="H13" s="49" t="n">
        <v>6</v>
      </c>
      <c r="I13" s="49" t="n">
        <v>6</v>
      </c>
      <c r="J13" s="49" t="n">
        <v>6</v>
      </c>
      <c r="K13" s="49" t="n">
        <v>6</v>
      </c>
      <c r="L13" s="49" t="n">
        <v>6</v>
      </c>
      <c r="M13" s="49" t="n">
        <v>6</v>
      </c>
      <c r="N13" s="49" t="n">
        <v>6</v>
      </c>
      <c r="O13" s="49" t="n">
        <v>6</v>
      </c>
      <c r="P13" s="49" t="n">
        <v>6</v>
      </c>
      <c r="Q13" s="49" t="n">
        <v>6</v>
      </c>
      <c r="R13" s="49" t="n">
        <v>6</v>
      </c>
      <c r="S13" s="49" t="n">
        <v>6</v>
      </c>
      <c r="T13" s="49" t="n">
        <v>6</v>
      </c>
      <c r="U13" s="49" t="n">
        <v>6</v>
      </c>
      <c r="V13" s="49" t="n">
        <v>6</v>
      </c>
      <c r="W13" s="49" t="n">
        <v>6</v>
      </c>
      <c r="X13" s="49" t="n">
        <v>6</v>
      </c>
      <c r="Y13" s="49" t="n">
        <v>6</v>
      </c>
      <c r="Z13" s="49" t="n">
        <v>6</v>
      </c>
      <c r="AA13" s="49" t="n">
        <v>6</v>
      </c>
      <c r="AB13" s="49" t="n">
        <v>6</v>
      </c>
      <c r="AC13" s="49" t="n">
        <v>6</v>
      </c>
      <c r="AD13" s="49" t="n">
        <v>6</v>
      </c>
      <c r="AE13" s="49" t="n">
        <v>6</v>
      </c>
      <c r="AF13" s="49" t="n">
        <v>6</v>
      </c>
    </row>
    <row r="14" customFormat="false" ht="15" hidden="false" customHeight="true" outlineLevel="0" collapsed="false">
      <c r="B14" s="47" t="s">
        <v>121</v>
      </c>
      <c r="C14" s="49" t="n">
        <f aca="false">ROUNDUP(1/2,0)</f>
        <v>1</v>
      </c>
      <c r="D14" s="49" t="n">
        <f aca="false">ROUNDUP(2/2,0)</f>
        <v>1</v>
      </c>
      <c r="E14" s="49" t="n">
        <f aca="false">ROUNDUP(3/2,0)</f>
        <v>2</v>
      </c>
      <c r="F14" s="49" t="n">
        <f aca="false">ROUNDUP(4/2,0)</f>
        <v>2</v>
      </c>
      <c r="G14" s="49" t="n">
        <f aca="false">ROUNDUP(5/2,0)</f>
        <v>3</v>
      </c>
      <c r="H14" s="49" t="n">
        <f aca="false">ROUNDUP(6/2,0)</f>
        <v>3</v>
      </c>
      <c r="I14" s="49" t="n">
        <f aca="false">ROUNDUP(7/2,0)</f>
        <v>4</v>
      </c>
      <c r="J14" s="49" t="n">
        <f aca="false">ROUNDUP(8/2,0)</f>
        <v>4</v>
      </c>
      <c r="K14" s="49" t="n">
        <f aca="false">ROUNDUP(9/2,0)</f>
        <v>5</v>
      </c>
      <c r="L14" s="49" t="n">
        <f aca="false">ROUNDUP(10/2,0)</f>
        <v>5</v>
      </c>
      <c r="M14" s="49" t="n">
        <f aca="false">ROUNDUP(11/2,0)</f>
        <v>6</v>
      </c>
      <c r="N14" s="49" t="n">
        <f aca="false">ROUNDUP(12/2,0)</f>
        <v>6</v>
      </c>
      <c r="O14" s="49" t="n">
        <f aca="false">ROUNDUP(13/2,0)</f>
        <v>7</v>
      </c>
      <c r="P14" s="49" t="n">
        <f aca="false">ROUNDUP(14/2,0)</f>
        <v>7</v>
      </c>
      <c r="Q14" s="49" t="n">
        <f aca="false">ROUNDUP(15/2,0)</f>
        <v>8</v>
      </c>
      <c r="R14" s="49" t="n">
        <f aca="false">ROUNDUP(16/2,0)</f>
        <v>8</v>
      </c>
      <c r="S14" s="49" t="n">
        <f aca="false">ROUNDUP(17/2,0)</f>
        <v>9</v>
      </c>
      <c r="T14" s="49" t="n">
        <f aca="false">ROUNDUP(18/2,0)</f>
        <v>9</v>
      </c>
      <c r="U14" s="49" t="n">
        <f aca="false">ROUNDUP(19/2,0)</f>
        <v>10</v>
      </c>
      <c r="V14" s="49" t="n">
        <f aca="false">ROUNDUP(20/2,0)</f>
        <v>10</v>
      </c>
      <c r="W14" s="49" t="n">
        <f aca="false">ROUNDUP(21/2,0)</f>
        <v>11</v>
      </c>
      <c r="X14" s="49" t="n">
        <f aca="false">ROUNDUP(22/2,0)</f>
        <v>11</v>
      </c>
      <c r="Y14" s="49" t="n">
        <f aca="false">ROUNDUP(23/2,0)</f>
        <v>12</v>
      </c>
      <c r="Z14" s="49" t="n">
        <f aca="false">ROUNDUP(24/2,0)</f>
        <v>12</v>
      </c>
      <c r="AA14" s="49" t="n">
        <f aca="false">ROUNDUP(25/2,0)</f>
        <v>13</v>
      </c>
      <c r="AB14" s="49" t="n">
        <f aca="false">ROUNDUP(26/2,0)</f>
        <v>13</v>
      </c>
      <c r="AC14" s="49" t="n">
        <f aca="false">ROUNDUP(27/2,0)</f>
        <v>14</v>
      </c>
      <c r="AD14" s="49" t="n">
        <f aca="false">ROUNDUP(28/2,0)</f>
        <v>14</v>
      </c>
      <c r="AE14" s="49" t="n">
        <f aca="false">ROUNDUP(29/2,0)</f>
        <v>15</v>
      </c>
      <c r="AF14" s="49" t="n">
        <f aca="false">ROUNDUP(30/2,0)</f>
        <v>15</v>
      </c>
    </row>
    <row r="15" customFormat="false" ht="15" hidden="false" customHeight="true" outlineLevel="0" collapsed="false">
      <c r="B15" s="47" t="s">
        <v>122</v>
      </c>
      <c r="C15" s="50" t="n">
        <f aca="false">(C11-Assumptions!$C$56)/365.25</f>
        <v>0</v>
      </c>
      <c r="D15" s="50" t="n">
        <f aca="false">(D11-Assumptions!$C$56)/365.25</f>
        <v>0.503764544832307</v>
      </c>
      <c r="E15" s="50" t="n">
        <f aca="false">(E11-Assumptions!$C$56)/365.25</f>
        <v>0.999315537303217</v>
      </c>
      <c r="F15" s="50" t="n">
        <f aca="false">(F11-Assumptions!$C$56)/365.25</f>
        <v>1.50308008213552</v>
      </c>
      <c r="G15" s="50" t="n">
        <f aca="false">(G11-Assumptions!$C$56)/365.25</f>
        <v>1.99863107460643</v>
      </c>
      <c r="H15" s="50" t="n">
        <f aca="false">(H11-Assumptions!$C$56)/365.25</f>
        <v>2.50239561943874</v>
      </c>
      <c r="I15" s="50" t="n">
        <f aca="false">(I11-Assumptions!$C$56)/365.25</f>
        <v>2.99794661190965</v>
      </c>
      <c r="J15" s="50" t="n">
        <f aca="false">(J11-Assumptions!$C$56)/365.25</f>
        <v>3.50171115674196</v>
      </c>
      <c r="K15" s="50" t="n">
        <f aca="false">(K11-Assumptions!$C$56)/365.25</f>
        <v>4</v>
      </c>
      <c r="L15" s="50" t="n">
        <f aca="false">(L11-Assumptions!$C$56)/365.25</f>
        <v>4.50376454483231</v>
      </c>
      <c r="M15" s="50" t="n">
        <f aca="false">(M11-Assumptions!$C$56)/365.25</f>
        <v>4.99931553730322</v>
      </c>
      <c r="N15" s="50" t="n">
        <f aca="false">(N11-Assumptions!$C$56)/365.25</f>
        <v>5.50308008213552</v>
      </c>
      <c r="O15" s="50" t="n">
        <f aca="false">(O11-Assumptions!$C$56)/365.25</f>
        <v>5.99863107460643</v>
      </c>
      <c r="P15" s="50" t="n">
        <f aca="false">(P11-Assumptions!$C$56)/365.25</f>
        <v>6.50239561943874</v>
      </c>
      <c r="Q15" s="50" t="n">
        <f aca="false">(Q11-Assumptions!$C$56)/365.25</f>
        <v>6.99794661190965</v>
      </c>
      <c r="R15" s="50" t="n">
        <f aca="false">(R11-Assumptions!$C$56)/365.25</f>
        <v>7.50171115674196</v>
      </c>
      <c r="S15" s="50" t="n">
        <f aca="false">(S11-Assumptions!$C$56)/365.25</f>
        <v>8</v>
      </c>
      <c r="T15" s="50" t="n">
        <f aca="false">(T11-Assumptions!$C$56)/365.25</f>
        <v>8.50376454483231</v>
      </c>
      <c r="U15" s="50" t="n">
        <f aca="false">(U11-Assumptions!$C$56)/365.25</f>
        <v>8.99931553730322</v>
      </c>
      <c r="V15" s="50" t="n">
        <f aca="false">(V11-Assumptions!$C$56)/365.25</f>
        <v>9.50308008213552</v>
      </c>
      <c r="W15" s="50" t="n">
        <f aca="false">(W11-Assumptions!$C$56)/365.25</f>
        <v>9.99863107460643</v>
      </c>
      <c r="X15" s="50" t="n">
        <f aca="false">(X11-Assumptions!$C$56)/365.25</f>
        <v>10.5023956194387</v>
      </c>
      <c r="Y15" s="50" t="n">
        <f aca="false">(Y11-Assumptions!$C$56)/365.25</f>
        <v>10.9979466119097</v>
      </c>
      <c r="Z15" s="50" t="n">
        <f aca="false">(Z11-Assumptions!$C$56)/365.25</f>
        <v>11.501711156742</v>
      </c>
      <c r="AA15" s="50" t="n">
        <f aca="false">(AA11-Assumptions!$C$56)/365.25</f>
        <v>12</v>
      </c>
      <c r="AB15" s="50" t="n">
        <f aca="false">(AB11-Assumptions!$C$56)/365.25</f>
        <v>12.5037645448323</v>
      </c>
      <c r="AC15" s="50" t="n">
        <f aca="false">(AC11-Assumptions!$C$56)/365.25</f>
        <v>12.9993155373032</v>
      </c>
      <c r="AD15" s="50" t="n">
        <f aca="false">(AD11-Assumptions!$C$56)/365.25</f>
        <v>13.5030800821355</v>
      </c>
      <c r="AE15" s="50" t="n">
        <f aca="false">(AE11-Assumptions!$C$56)/365.25</f>
        <v>13.9986310746064</v>
      </c>
      <c r="AF15" s="50" t="n">
        <f aca="false">(AF11-Assumptions!$C$56)/365.25</f>
        <v>14.5023956194387</v>
      </c>
    </row>
    <row r="16" customFormat="false" ht="15" hidden="false" customHeight="true" outlineLevel="0" collapsed="false">
      <c r="B16" s="47" t="s">
        <v>123</v>
      </c>
      <c r="C16" s="51" t="n">
        <f aca="false">(1+Assumptions!$F$48)^C15</f>
        <v>1</v>
      </c>
      <c r="D16" s="51" t="n">
        <f aca="false">(1+Assumptions!$F$48)^D15</f>
        <v>1.01102297823258</v>
      </c>
      <c r="E16" s="51" t="n">
        <f aca="false">(1+Assumptions!$F$48)^E15</f>
        <v>1.02198477749557</v>
      </c>
      <c r="F16" s="51" t="n">
        <f aca="false">(1+Assumptions!$F$48)^F15</f>
        <v>1.03325009345193</v>
      </c>
      <c r="G16" s="51" t="n">
        <f aca="false">(1+Assumptions!$F$48)^G15</f>
        <v>1.04445288543268</v>
      </c>
      <c r="H16" s="51" t="n">
        <f aca="false">(1+Assumptions!$F$48)^H15</f>
        <v>1.05596586685375</v>
      </c>
      <c r="I16" s="51" t="n">
        <f aca="false">(1+Assumptions!$F$48)^I15</f>
        <v>1.06741494972352</v>
      </c>
      <c r="J16" s="51" t="n">
        <f aca="false">(1+Assumptions!$F$48)^J15</f>
        <v>1.07918104147945</v>
      </c>
      <c r="K16" s="51" t="n">
        <f aca="false">(1+Assumptions!$F$48)^K15</f>
        <v>1.090946826256</v>
      </c>
      <c r="L16" s="51" t="n">
        <f aca="false">(1+Assumptions!$F$48)^L15</f>
        <v>1.10297230937472</v>
      </c>
      <c r="M16" s="51" t="n">
        <f aca="false">(1+Assumptions!$F$48)^M15</f>
        <v>1.11493104949074</v>
      </c>
      <c r="N16" s="51" t="n">
        <f aca="false">(1+Assumptions!$F$48)^N15</f>
        <v>1.1272209101801</v>
      </c>
      <c r="O16" s="51" t="n">
        <f aca="false">(1+Assumptions!$F$48)^O15</f>
        <v>1.1394425605367</v>
      </c>
      <c r="P16" s="51" t="n">
        <f aca="false">(1+Assumptions!$F$48)^P15</f>
        <v>1.15200261107877</v>
      </c>
      <c r="Q16" s="51" t="n">
        <f aca="false">(1+Assumptions!$F$48)^Q15</f>
        <v>1.16449295169908</v>
      </c>
      <c r="R16" s="51" t="n">
        <f aca="false">(1+Assumptions!$F$48)^R15</f>
        <v>1.17732913215765</v>
      </c>
      <c r="S16" s="51" t="n">
        <f aca="false">(1+Assumptions!$F$48)^S15</f>
        <v>1.19016497771804</v>
      </c>
      <c r="T16" s="51" t="n">
        <f aca="false">(1+Assumptions!$F$48)^T15</f>
        <v>1.2032841403606</v>
      </c>
      <c r="U16" s="51" t="n">
        <f aca="false">(1+Assumptions!$F$48)^U15</f>
        <v>1.21633048993619</v>
      </c>
      <c r="V16" s="51" t="n">
        <f aca="false">(1+Assumptions!$F$48)^V15</f>
        <v>1.22973807445038</v>
      </c>
      <c r="W16" s="51" t="n">
        <f aca="false">(1+Assumptions!$F$48)^W15</f>
        <v>1.24307124511852</v>
      </c>
      <c r="X16" s="51" t="n">
        <f aca="false">(1+Assumptions!$F$48)^X15</f>
        <v>1.25677359239501</v>
      </c>
      <c r="Y16" s="51" t="n">
        <f aca="false">(1+Assumptions!$F$48)^Y15</f>
        <v>1.2703998898536</v>
      </c>
      <c r="Z16" s="51" t="n">
        <f aca="false">(1+Assumptions!$F$48)^Z15</f>
        <v>1.28440348018612</v>
      </c>
      <c r="AA16" s="51" t="n">
        <f aca="false">(1+Assumptions!$F$48)^AA15</f>
        <v>1.29840670516254</v>
      </c>
      <c r="AB16" s="51" t="n">
        <f aca="false">(1+Assumptions!$F$48)^AB15</f>
        <v>1.31271901401058</v>
      </c>
      <c r="AC16" s="51" t="n">
        <f aca="false">(1+Assumptions!$F$48)^AC15</f>
        <v>1.3269518876743</v>
      </c>
      <c r="AD16" s="51" t="n">
        <f aca="false">(1+Assumptions!$F$48)^AD15</f>
        <v>1.34157884944781</v>
      </c>
      <c r="AE16" s="51" t="n">
        <f aca="false">(1+Assumptions!$F$48)^AE15</f>
        <v>1.35612462967215</v>
      </c>
      <c r="AF16" s="51" t="n">
        <f aca="false">(1+Assumptions!$F$48)^AF15</f>
        <v>1.37107316194568</v>
      </c>
    </row>
    <row r="17" customFormat="false" ht="15" hidden="false" customHeight="true" outlineLevel="0" collapsed="false">
      <c r="B17" s="47" t="s">
        <v>124</v>
      </c>
      <c r="C17" s="51" t="n">
        <f aca="false">(1-Assumptions!$F$22)^C15</f>
        <v>1</v>
      </c>
      <c r="D17" s="51" t="n">
        <f aca="false">(1-Assumptions!$F$22)^D15</f>
        <v>0.997478044636135</v>
      </c>
      <c r="E17" s="51" t="n">
        <f aca="false">(1-Assumptions!$F$22)^E15</f>
        <v>0.995003413749261</v>
      </c>
      <c r="F17" s="51" t="n">
        <f aca="false">(1-Assumptions!$F$22)^F15</f>
        <v>0.992494059552892</v>
      </c>
      <c r="G17" s="51" t="n">
        <f aca="false">(1-Assumptions!$F$22)^G15</f>
        <v>0.990031793372683</v>
      </c>
      <c r="H17" s="51" t="n">
        <f aca="false">(1-Assumptions!$F$22)^H15</f>
        <v>0.987534977380989</v>
      </c>
      <c r="I17" s="51" t="n">
        <f aca="false">(1-Assumptions!$F$22)^I15</f>
        <v>0.985085014126122</v>
      </c>
      <c r="J17" s="51" t="n">
        <f aca="false">(1-Assumptions!$F$22)^J15</f>
        <v>0.982600673690884</v>
      </c>
      <c r="K17" s="51" t="n">
        <f aca="false">(1-Assumptions!$F$22)^K15</f>
        <v>0.980149500625</v>
      </c>
      <c r="L17" s="51" t="n">
        <f aca="false">(1-Assumptions!$F$22)^L15</f>
        <v>0.977677607334509</v>
      </c>
      <c r="M17" s="51" t="n">
        <f aca="false">(1-Assumptions!$F$22)^M15</f>
        <v>0.975252099106508</v>
      </c>
      <c r="N17" s="51" t="n">
        <f aca="false">(1-Assumptions!$F$22)^N15</f>
        <v>0.972792556844046</v>
      </c>
      <c r="O17" s="51" t="n">
        <f aca="false">(1-Assumptions!$F$22)^O15</f>
        <v>0.970379167877108</v>
      </c>
      <c r="P17" s="51" t="n">
        <f aca="false">(1-Assumptions!$F$22)^P15</f>
        <v>0.967931914929697</v>
      </c>
      <c r="Q17" s="51" t="n">
        <f aca="false">(1-Assumptions!$F$22)^Q15</f>
        <v>0.96553058466889</v>
      </c>
      <c r="R17" s="51" t="n">
        <f aca="false">(1-Assumptions!$F$22)^R15</f>
        <v>0.963095559631908</v>
      </c>
      <c r="S17" s="51" t="n">
        <f aca="false">(1-Assumptions!$F$22)^S15</f>
        <v>0.960693043575437</v>
      </c>
      <c r="T17" s="51" t="n">
        <f aca="false">(1-Assumptions!$F$22)^T15</f>
        <v>0.958270218601164</v>
      </c>
      <c r="U17" s="51" t="n">
        <f aca="false">(1-Assumptions!$F$22)^U15</f>
        <v>0.955892857922727</v>
      </c>
      <c r="V17" s="51" t="n">
        <f aca="false">(1-Assumptions!$F$22)^V15</f>
        <v>0.953482138802408</v>
      </c>
      <c r="W17" s="51" t="n">
        <f aca="false">(1-Assumptions!$F$22)^W15</f>
        <v>0.951116656811651</v>
      </c>
      <c r="X17" s="51" t="n">
        <f aca="false">(1-Assumptions!$F$22)^X15</f>
        <v>0.948717983057343</v>
      </c>
      <c r="Y17" s="51" t="n">
        <f aca="false">(1-Assumptions!$F$22)^Y15</f>
        <v>0.946364320401377</v>
      </c>
      <c r="Z17" s="51" t="n">
        <f aca="false">(1-Assumptions!$F$22)^Z15</f>
        <v>0.94397763182737</v>
      </c>
      <c r="AA17" s="51" t="n">
        <f aca="false">(1-Assumptions!$F$22)^AA15</f>
        <v>0.941622806914376</v>
      </c>
      <c r="AB17" s="51" t="n">
        <f aca="false">(1-Assumptions!$F$22)^AB15</f>
        <v>0.93924807622574</v>
      </c>
      <c r="AC17" s="51" t="n">
        <f aca="false">(1-Assumptions!$F$22)^AC15</f>
        <v>0.936917907343965</v>
      </c>
      <c r="AD17" s="51" t="n">
        <f aca="false">(1-Assumptions!$F$22)^AD15</f>
        <v>0.934555042202037</v>
      </c>
      <c r="AE17" s="51" t="n">
        <f aca="false">(1-Assumptions!$F$22)^AE15</f>
        <v>0.932236516210059</v>
      </c>
      <c r="AF17" s="51" t="n">
        <f aca="false">(1-Assumptions!$F$22)^AF15</f>
        <v>0.929885457327612</v>
      </c>
    </row>
  </sheetData>
  <mergeCells count="3">
    <mergeCell ref="B1:F1"/>
    <mergeCell ref="A3:Z3"/>
    <mergeCell ref="A9:AF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28B22"/>
    <pageSetUpPr fitToPage="false"/>
  </sheetPr>
  <dimension ref="A1:Z3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34"/>
    <col collapsed="false" customWidth="true" hidden="false" outlineLevel="0" max="26" min="3" style="1" width="11"/>
  </cols>
  <sheetData>
    <row r="1" customFormat="false" ht="15.75" hidden="false" customHeight="true" outlineLevel="0" collapsed="false">
      <c r="B1" s="44" t="s">
        <v>125</v>
      </c>
      <c r="C1" s="44"/>
      <c r="D1" s="44"/>
      <c r="E1" s="44"/>
      <c r="F1" s="44"/>
    </row>
    <row r="3" customFormat="false" ht="15" hidden="false" customHeight="true" outlineLevel="0" collapsed="false">
      <c r="A3" s="9" t="s">
        <v>126</v>
      </c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 customFormat="false" ht="15" hidden="false" customHeight="true" outlineLevel="0" collapsed="false">
      <c r="B4" s="16" t="s">
        <v>127</v>
      </c>
      <c r="C4" s="52" t="n">
        <f aca="false">Assumptions!$F$32*1000000*Assumptions!$F$9</f>
        <v>380000000</v>
      </c>
    </row>
    <row r="5" customFormat="false" ht="15" hidden="false" customHeight="true" outlineLevel="0" collapsed="false">
      <c r="B5" s="16" t="s">
        <v>128</v>
      </c>
      <c r="C5" s="52" t="n">
        <f aca="false">Assumptions!$F$33*1000000*Assumptions!$F$20</f>
        <v>103500000</v>
      </c>
    </row>
    <row r="6" customFormat="false" ht="15" hidden="false" customHeight="true" outlineLevel="0" collapsed="false">
      <c r="B6" s="53" t="s">
        <v>129</v>
      </c>
      <c r="C6" s="54" t="n">
        <f aca="false">C4+C5</f>
        <v>483500000</v>
      </c>
    </row>
    <row r="8" customFormat="false" ht="15" hidden="false" customHeight="true" outlineLevel="0" collapsed="false">
      <c r="A8" s="9" t="s">
        <v>130</v>
      </c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 customFormat="false" ht="15" hidden="false" customHeight="true" outlineLevel="0" collapsed="false">
      <c r="B9" s="45" t="s">
        <v>112</v>
      </c>
      <c r="C9" s="46" t="n">
        <f aca="false">'Timing &amp; Calendar'!C$4</f>
        <v>1</v>
      </c>
      <c r="D9" s="46" t="n">
        <f aca="false">'Timing &amp; Calendar'!D$4</f>
        <v>2</v>
      </c>
      <c r="E9" s="46" t="n">
        <f aca="false">'Timing &amp; Calendar'!E$4</f>
        <v>3</v>
      </c>
      <c r="F9" s="46" t="n">
        <f aca="false">'Timing &amp; Calendar'!F$4</f>
        <v>4</v>
      </c>
      <c r="G9" s="46" t="n">
        <f aca="false">'Timing &amp; Calendar'!G$4</f>
        <v>5</v>
      </c>
      <c r="H9" s="46" t="n">
        <f aca="false">'Timing &amp; Calendar'!H$4</f>
        <v>6</v>
      </c>
      <c r="I9" s="46" t="n">
        <f aca="false">'Timing &amp; Calendar'!I$4</f>
        <v>7</v>
      </c>
      <c r="J9" s="46" t="n">
        <f aca="false">'Timing &amp; Calendar'!J$4</f>
        <v>8</v>
      </c>
      <c r="K9" s="46" t="n">
        <f aca="false">'Timing &amp; Calendar'!K$4</f>
        <v>9</v>
      </c>
      <c r="L9" s="46" t="n">
        <f aca="false">'Timing &amp; Calendar'!L$4</f>
        <v>10</v>
      </c>
      <c r="M9" s="46" t="n">
        <f aca="false">'Timing &amp; Calendar'!M$4</f>
        <v>11</v>
      </c>
      <c r="N9" s="46" t="n">
        <f aca="false">'Timing &amp; Calendar'!N$4</f>
        <v>12</v>
      </c>
      <c r="O9" s="46" t="n">
        <f aca="false">'Timing &amp; Calendar'!O$4</f>
        <v>13</v>
      </c>
      <c r="P9" s="46" t="n">
        <f aca="false">'Timing &amp; Calendar'!P$4</f>
        <v>14</v>
      </c>
      <c r="Q9" s="46" t="n">
        <f aca="false">'Timing &amp; Calendar'!Q$4</f>
        <v>15</v>
      </c>
      <c r="R9" s="46" t="n">
        <f aca="false">'Timing &amp; Calendar'!R$4</f>
        <v>16</v>
      </c>
      <c r="S9" s="46" t="n">
        <f aca="false">'Timing &amp; Calendar'!S$4</f>
        <v>17</v>
      </c>
      <c r="T9" s="46" t="n">
        <f aca="false">'Timing &amp; Calendar'!T$4</f>
        <v>18</v>
      </c>
      <c r="U9" s="46" t="n">
        <f aca="false">'Timing &amp; Calendar'!U$4</f>
        <v>19</v>
      </c>
      <c r="V9" s="46" t="n">
        <f aca="false">'Timing &amp; Calendar'!V$4</f>
        <v>20</v>
      </c>
      <c r="W9" s="46" t="n">
        <f aca="false">'Timing &amp; Calendar'!W$4</f>
        <v>21</v>
      </c>
      <c r="X9" s="46" t="n">
        <f aca="false">'Timing &amp; Calendar'!X$4</f>
        <v>22</v>
      </c>
      <c r="Y9" s="46" t="n">
        <f aca="false">'Timing &amp; Calendar'!Y$4</f>
        <v>23</v>
      </c>
      <c r="Z9" s="46" t="n">
        <f aca="false">'Timing &amp; Calendar'!Z$4</f>
        <v>24</v>
      </c>
    </row>
    <row r="10" customFormat="false" ht="15" hidden="false" customHeight="true" outlineLevel="0" collapsed="false">
      <c r="B10" s="47" t="s">
        <v>131</v>
      </c>
      <c r="C10" s="49" t="n">
        <f aca="false">1*(25-1)</f>
        <v>24</v>
      </c>
      <c r="D10" s="49" t="n">
        <f aca="false">2*(25-2)</f>
        <v>46</v>
      </c>
      <c r="E10" s="49" t="n">
        <f aca="false">3*(25-3)</f>
        <v>66</v>
      </c>
      <c r="F10" s="49" t="n">
        <f aca="false">4*(25-4)</f>
        <v>84</v>
      </c>
      <c r="G10" s="49" t="n">
        <f aca="false">5*(25-5)</f>
        <v>100</v>
      </c>
      <c r="H10" s="49" t="n">
        <f aca="false">6*(25-6)</f>
        <v>114</v>
      </c>
      <c r="I10" s="49" t="n">
        <f aca="false">7*(25-7)</f>
        <v>126</v>
      </c>
      <c r="J10" s="49" t="n">
        <f aca="false">8*(25-8)</f>
        <v>136</v>
      </c>
      <c r="K10" s="49" t="n">
        <f aca="false">9*(25-9)</f>
        <v>144</v>
      </c>
      <c r="L10" s="49" t="n">
        <f aca="false">10*(25-10)</f>
        <v>150</v>
      </c>
      <c r="M10" s="49" t="n">
        <f aca="false">11*(25-11)</f>
        <v>154</v>
      </c>
      <c r="N10" s="49" t="n">
        <f aca="false">12*(25-12)</f>
        <v>156</v>
      </c>
      <c r="O10" s="49" t="n">
        <f aca="false">13*(25-13)</f>
        <v>156</v>
      </c>
      <c r="P10" s="49" t="n">
        <f aca="false">14*(25-14)</f>
        <v>154</v>
      </c>
      <c r="Q10" s="49" t="n">
        <f aca="false">15*(25-15)</f>
        <v>150</v>
      </c>
      <c r="R10" s="49" t="n">
        <f aca="false">16*(25-16)</f>
        <v>144</v>
      </c>
      <c r="S10" s="49" t="n">
        <f aca="false">17*(25-17)</f>
        <v>136</v>
      </c>
      <c r="T10" s="49" t="n">
        <f aca="false">18*(25-18)</f>
        <v>126</v>
      </c>
      <c r="U10" s="49" t="n">
        <f aca="false">19*(25-19)</f>
        <v>114</v>
      </c>
      <c r="V10" s="49" t="n">
        <f aca="false">20*(25-20)</f>
        <v>100</v>
      </c>
      <c r="W10" s="49" t="n">
        <f aca="false">21*(25-21)</f>
        <v>84</v>
      </c>
      <c r="X10" s="49" t="n">
        <f aca="false">22*(25-22)</f>
        <v>66</v>
      </c>
      <c r="Y10" s="49" t="n">
        <f aca="false">23*(25-23)</f>
        <v>46</v>
      </c>
      <c r="Z10" s="49" t="n">
        <f aca="false">24*(25-24)</f>
        <v>24</v>
      </c>
    </row>
    <row r="11" customFormat="false" ht="15" hidden="false" customHeight="true" outlineLevel="0" collapsed="false">
      <c r="B11" s="47" t="s">
        <v>132</v>
      </c>
      <c r="C11" s="55" t="n">
        <f aca="false">C10/SUM(C10:Z10)</f>
        <v>0.00923076923076923</v>
      </c>
      <c r="D11" s="55" t="n">
        <f aca="false">D10/SUM(C10:Z10)</f>
        <v>0.0176923076923077</v>
      </c>
      <c r="E11" s="55" t="n">
        <f aca="false">E10/SUM(C10:Z10)</f>
        <v>0.0253846153846154</v>
      </c>
      <c r="F11" s="55" t="n">
        <f aca="false">F10/SUM(C10:Z10)</f>
        <v>0.0323076923076923</v>
      </c>
      <c r="G11" s="55" t="n">
        <f aca="false">G10/SUM(C10:Z10)</f>
        <v>0.0384615384615385</v>
      </c>
      <c r="H11" s="55" t="n">
        <f aca="false">H10/SUM(C10:Z10)</f>
        <v>0.0438461538461539</v>
      </c>
      <c r="I11" s="55" t="n">
        <f aca="false">I10/SUM(C10:Z10)</f>
        <v>0.0484615384615385</v>
      </c>
      <c r="J11" s="55" t="n">
        <f aca="false">J10/SUM(C10:Z10)</f>
        <v>0.0523076923076923</v>
      </c>
      <c r="K11" s="55" t="n">
        <f aca="false">K10/SUM(C10:Z10)</f>
        <v>0.0553846153846154</v>
      </c>
      <c r="L11" s="55" t="n">
        <f aca="false">L10/SUM(C10:Z10)</f>
        <v>0.0576923076923077</v>
      </c>
      <c r="M11" s="55" t="n">
        <f aca="false">M10/SUM(C10:Z10)</f>
        <v>0.0592307692307692</v>
      </c>
      <c r="N11" s="55" t="n">
        <f aca="false">N10/SUM(C10:Z10)</f>
        <v>0.06</v>
      </c>
      <c r="O11" s="55" t="n">
        <f aca="false">O10/SUM(C10:Z10)</f>
        <v>0.06</v>
      </c>
      <c r="P11" s="55" t="n">
        <f aca="false">P10/SUM(C10:Z10)</f>
        <v>0.0592307692307692</v>
      </c>
      <c r="Q11" s="55" t="n">
        <f aca="false">Q10/SUM(C10:Z10)</f>
        <v>0.0576923076923077</v>
      </c>
      <c r="R11" s="55" t="n">
        <f aca="false">R10/SUM(C10:Z10)</f>
        <v>0.0553846153846154</v>
      </c>
      <c r="S11" s="55" t="n">
        <f aca="false">S10/SUM(C10:Z10)</f>
        <v>0.0523076923076923</v>
      </c>
      <c r="T11" s="55" t="n">
        <f aca="false">T10/SUM(C10:Z10)</f>
        <v>0.0484615384615385</v>
      </c>
      <c r="U11" s="55" t="n">
        <f aca="false">U10/SUM(C10:Z10)</f>
        <v>0.0438461538461539</v>
      </c>
      <c r="V11" s="55" t="n">
        <f aca="false">V10/SUM(C10:Z10)</f>
        <v>0.0384615384615385</v>
      </c>
      <c r="W11" s="55" t="n">
        <f aca="false">W10/SUM(C10:Z10)</f>
        <v>0.0323076923076923</v>
      </c>
      <c r="X11" s="55" t="n">
        <f aca="false">X10/SUM(C10:Z10)</f>
        <v>0.0253846153846154</v>
      </c>
      <c r="Y11" s="55" t="n">
        <f aca="false">Y10/SUM(C10:Z10)</f>
        <v>0.0176923076923077</v>
      </c>
      <c r="Z11" s="55" t="n">
        <f aca="false">Z10/SUM(C10:Z10)</f>
        <v>0.00923076923076923</v>
      </c>
    </row>
    <row r="12" customFormat="false" ht="15" hidden="false" customHeight="true" outlineLevel="0" collapsed="false">
      <c r="B12" s="47" t="s">
        <v>133</v>
      </c>
      <c r="C12" s="56" t="n">
        <f aca="false">$C$4*C11</f>
        <v>3507692.30769231</v>
      </c>
      <c r="D12" s="56" t="n">
        <f aca="false">$C$4*D11</f>
        <v>6723076.92307692</v>
      </c>
      <c r="E12" s="56" t="n">
        <f aca="false">$C$4*E11</f>
        <v>9646153.84615385</v>
      </c>
      <c r="F12" s="56" t="n">
        <f aca="false">$C$4*F11</f>
        <v>12276923.0769231</v>
      </c>
      <c r="G12" s="56" t="n">
        <f aca="false">$C$4*G11</f>
        <v>14615384.6153846</v>
      </c>
      <c r="H12" s="56" t="n">
        <f aca="false">$C$4*H11</f>
        <v>16661538.4615385</v>
      </c>
      <c r="I12" s="56" t="n">
        <f aca="false">$C$4*I11</f>
        <v>18415384.6153846</v>
      </c>
      <c r="J12" s="56" t="n">
        <f aca="false">$C$4*J11</f>
        <v>19876923.0769231</v>
      </c>
      <c r="K12" s="56" t="n">
        <f aca="false">$C$4*K11</f>
        <v>21046153.8461538</v>
      </c>
      <c r="L12" s="56" t="n">
        <f aca="false">$C$4*L11</f>
        <v>21923076.9230769</v>
      </c>
      <c r="M12" s="56" t="n">
        <f aca="false">$C$4*M11</f>
        <v>22507692.3076923</v>
      </c>
      <c r="N12" s="56" t="n">
        <f aca="false">$C$4*N11</f>
        <v>22800000</v>
      </c>
      <c r="O12" s="56" t="n">
        <f aca="false">$C$4*O11</f>
        <v>22800000</v>
      </c>
      <c r="P12" s="56" t="n">
        <f aca="false">$C$4*P11</f>
        <v>22507692.3076923</v>
      </c>
      <c r="Q12" s="56" t="n">
        <f aca="false">$C$4*Q11</f>
        <v>21923076.9230769</v>
      </c>
      <c r="R12" s="56" t="n">
        <f aca="false">$C$4*R11</f>
        <v>21046153.8461538</v>
      </c>
      <c r="S12" s="56" t="n">
        <f aca="false">$C$4*S11</f>
        <v>19876923.0769231</v>
      </c>
      <c r="T12" s="56" t="n">
        <f aca="false">$C$4*T11</f>
        <v>18415384.6153846</v>
      </c>
      <c r="U12" s="56" t="n">
        <f aca="false">$C$4*U11</f>
        <v>16661538.4615385</v>
      </c>
      <c r="V12" s="56" t="n">
        <f aca="false">$C$4*V11</f>
        <v>14615384.6153846</v>
      </c>
      <c r="W12" s="56" t="n">
        <f aca="false">$C$4*W11</f>
        <v>12276923.0769231</v>
      </c>
      <c r="X12" s="56" t="n">
        <f aca="false">$C$4*X11</f>
        <v>9646153.84615385</v>
      </c>
      <c r="Y12" s="56" t="n">
        <f aca="false">$C$4*Y11</f>
        <v>6723076.92307692</v>
      </c>
      <c r="Z12" s="56" t="n">
        <f aca="false">$C$4*Z11</f>
        <v>3507692.30769231</v>
      </c>
    </row>
    <row r="13" customFormat="false" ht="15" hidden="false" customHeight="true" outlineLevel="0" collapsed="false">
      <c r="B13" s="47" t="s">
        <v>134</v>
      </c>
      <c r="C13" s="56" t="n">
        <f aca="false">$C$5*C11</f>
        <v>955384.615384616</v>
      </c>
      <c r="D13" s="56" t="n">
        <f aca="false">$C$5*D11</f>
        <v>1831153.84615385</v>
      </c>
      <c r="E13" s="56" t="n">
        <f aca="false">$C$5*E11</f>
        <v>2627307.69230769</v>
      </c>
      <c r="F13" s="56" t="n">
        <f aca="false">$C$5*F11</f>
        <v>3343846.15384615</v>
      </c>
      <c r="G13" s="56" t="n">
        <f aca="false">$C$5*G11</f>
        <v>3980769.23076923</v>
      </c>
      <c r="H13" s="56" t="n">
        <f aca="false">$C$5*H11</f>
        <v>4538076.92307692</v>
      </c>
      <c r="I13" s="56" t="n">
        <f aca="false">$C$5*I11</f>
        <v>5015769.23076923</v>
      </c>
      <c r="J13" s="56" t="n">
        <f aca="false">$C$5*J11</f>
        <v>5413846.15384615</v>
      </c>
      <c r="K13" s="56" t="n">
        <f aca="false">$C$5*K11</f>
        <v>5732307.69230769</v>
      </c>
      <c r="L13" s="56" t="n">
        <f aca="false">$C$5*L11</f>
        <v>5971153.84615385</v>
      </c>
      <c r="M13" s="56" t="n">
        <f aca="false">$C$5*M11</f>
        <v>6130384.61538462</v>
      </c>
      <c r="N13" s="56" t="n">
        <f aca="false">$C$5*N11</f>
        <v>6210000</v>
      </c>
      <c r="O13" s="56" t="n">
        <f aca="false">$C$5*O11</f>
        <v>6210000</v>
      </c>
      <c r="P13" s="56" t="n">
        <f aca="false">$C$5*P11</f>
        <v>6130384.61538462</v>
      </c>
      <c r="Q13" s="56" t="n">
        <f aca="false">$C$5*Q11</f>
        <v>5971153.84615385</v>
      </c>
      <c r="R13" s="56" t="n">
        <f aca="false">$C$5*R11</f>
        <v>5732307.69230769</v>
      </c>
      <c r="S13" s="56" t="n">
        <f aca="false">$C$5*S11</f>
        <v>5413846.15384615</v>
      </c>
      <c r="T13" s="56" t="n">
        <f aca="false">$C$5*T11</f>
        <v>5015769.23076923</v>
      </c>
      <c r="U13" s="56" t="n">
        <f aca="false">$C$5*U11</f>
        <v>4538076.92307692</v>
      </c>
      <c r="V13" s="56" t="n">
        <f aca="false">$C$5*V11</f>
        <v>3980769.23076923</v>
      </c>
      <c r="W13" s="56" t="n">
        <f aca="false">$C$5*W11</f>
        <v>3343846.15384615</v>
      </c>
      <c r="X13" s="56" t="n">
        <f aca="false">$C$5*X11</f>
        <v>2627307.69230769</v>
      </c>
      <c r="Y13" s="56" t="n">
        <f aca="false">$C$5*Y11</f>
        <v>1831153.84615385</v>
      </c>
      <c r="Z13" s="56" t="n">
        <f aca="false">$C$5*Z11</f>
        <v>955384.615384616</v>
      </c>
    </row>
    <row r="14" customFormat="false" ht="15" hidden="false" customHeight="true" outlineLevel="0" collapsed="false">
      <c r="B14" s="45" t="s">
        <v>135</v>
      </c>
      <c r="C14" s="57" t="n">
        <f aca="false">C12+C13</f>
        <v>4463076.92307692</v>
      </c>
      <c r="D14" s="57" t="n">
        <f aca="false">D12+D13</f>
        <v>8554230.76923077</v>
      </c>
      <c r="E14" s="57" t="n">
        <f aca="false">E12+E13</f>
        <v>12273461.5384615</v>
      </c>
      <c r="F14" s="57" t="n">
        <f aca="false">F12+F13</f>
        <v>15620769.2307692</v>
      </c>
      <c r="G14" s="57" t="n">
        <f aca="false">G12+G13</f>
        <v>18596153.8461538</v>
      </c>
      <c r="H14" s="57" t="n">
        <f aca="false">H12+H13</f>
        <v>21199615.3846154</v>
      </c>
      <c r="I14" s="57" t="n">
        <f aca="false">I12+I13</f>
        <v>23431153.8461538</v>
      </c>
      <c r="J14" s="57" t="n">
        <f aca="false">J12+J13</f>
        <v>25290769.2307692</v>
      </c>
      <c r="K14" s="57" t="n">
        <f aca="false">K12+K13</f>
        <v>26778461.5384615</v>
      </c>
      <c r="L14" s="57" t="n">
        <f aca="false">L12+L13</f>
        <v>27894230.7692308</v>
      </c>
      <c r="M14" s="57" t="n">
        <f aca="false">M12+M13</f>
        <v>28638076.9230769</v>
      </c>
      <c r="N14" s="57" t="n">
        <f aca="false">N12+N13</f>
        <v>29010000</v>
      </c>
      <c r="O14" s="57" t="n">
        <f aca="false">O12+O13</f>
        <v>29010000</v>
      </c>
      <c r="P14" s="57" t="n">
        <f aca="false">P12+P13</f>
        <v>28638076.9230769</v>
      </c>
      <c r="Q14" s="57" t="n">
        <f aca="false">Q12+Q13</f>
        <v>27894230.7692308</v>
      </c>
      <c r="R14" s="57" t="n">
        <f aca="false">R12+R13</f>
        <v>26778461.5384615</v>
      </c>
      <c r="S14" s="57" t="n">
        <f aca="false">S12+S13</f>
        <v>25290769.2307692</v>
      </c>
      <c r="T14" s="57" t="n">
        <f aca="false">T12+T13</f>
        <v>23431153.8461538</v>
      </c>
      <c r="U14" s="57" t="n">
        <f aca="false">U12+U13</f>
        <v>21199615.3846154</v>
      </c>
      <c r="V14" s="57" t="n">
        <f aca="false">V12+V13</f>
        <v>18596153.8461538</v>
      </c>
      <c r="W14" s="57" t="n">
        <f aca="false">W12+W13</f>
        <v>15620769.2307692</v>
      </c>
      <c r="X14" s="57" t="n">
        <f aca="false">X12+X13</f>
        <v>12273461.5384615</v>
      </c>
      <c r="Y14" s="57" t="n">
        <f aca="false">Y12+Y13</f>
        <v>8554230.76923077</v>
      </c>
      <c r="Z14" s="57" t="n">
        <f aca="false">Z12+Z13</f>
        <v>4463076.92307692</v>
      </c>
    </row>
    <row r="15" customFormat="false" ht="15" hidden="false" customHeight="true" outlineLevel="0" collapsed="false">
      <c r="B15" s="47" t="s">
        <v>136</v>
      </c>
      <c r="C15" s="56" t="n">
        <f aca="false">C14</f>
        <v>4463076.92307692</v>
      </c>
      <c r="D15" s="56" t="n">
        <f aca="false">C15+D14</f>
        <v>13017307.6923077</v>
      </c>
      <c r="E15" s="56" t="n">
        <f aca="false">D15+E14</f>
        <v>25290769.2307692</v>
      </c>
      <c r="F15" s="56" t="n">
        <f aca="false">E15+F14</f>
        <v>40911538.4615385</v>
      </c>
      <c r="G15" s="56" t="n">
        <f aca="false">F15+G14</f>
        <v>59507692.3076923</v>
      </c>
      <c r="H15" s="56" t="n">
        <f aca="false">G15+H14</f>
        <v>80707307.6923077</v>
      </c>
      <c r="I15" s="56" t="n">
        <f aca="false">H15+I14</f>
        <v>104138461.538462</v>
      </c>
      <c r="J15" s="56" t="n">
        <f aca="false">I15+J14</f>
        <v>129429230.769231</v>
      </c>
      <c r="K15" s="56" t="n">
        <f aca="false">J15+K14</f>
        <v>156207692.307692</v>
      </c>
      <c r="L15" s="56" t="n">
        <f aca="false">K15+L14</f>
        <v>184101923.076923</v>
      </c>
      <c r="M15" s="56" t="n">
        <f aca="false">L15+M14</f>
        <v>212740000</v>
      </c>
      <c r="N15" s="56" t="n">
        <f aca="false">M15+N14</f>
        <v>241750000</v>
      </c>
      <c r="O15" s="56" t="n">
        <f aca="false">N15+O14</f>
        <v>270760000</v>
      </c>
      <c r="P15" s="56" t="n">
        <f aca="false">O15+P14</f>
        <v>299398076.923077</v>
      </c>
      <c r="Q15" s="56" t="n">
        <f aca="false">P15+Q14</f>
        <v>327292307.692308</v>
      </c>
      <c r="R15" s="56" t="n">
        <f aca="false">Q15+R14</f>
        <v>354070769.230769</v>
      </c>
      <c r="S15" s="56" t="n">
        <f aca="false">R15+S14</f>
        <v>379361538.461539</v>
      </c>
      <c r="T15" s="56" t="n">
        <f aca="false">S15+T14</f>
        <v>402792692.307692</v>
      </c>
      <c r="U15" s="56" t="n">
        <f aca="false">T15+U14</f>
        <v>423992307.692308</v>
      </c>
      <c r="V15" s="56" t="n">
        <f aca="false">U15+V14</f>
        <v>442588461.538462</v>
      </c>
      <c r="W15" s="56" t="n">
        <f aca="false">V15+W14</f>
        <v>458209230.769231</v>
      </c>
      <c r="X15" s="56" t="n">
        <f aca="false">W15+X14</f>
        <v>470482692.307692</v>
      </c>
      <c r="Y15" s="56" t="n">
        <f aca="false">X15+Y14</f>
        <v>479036923.076923</v>
      </c>
      <c r="Z15" s="56" t="n">
        <f aca="false">Y15+Z14</f>
        <v>483500000</v>
      </c>
    </row>
    <row r="17" customFormat="false" ht="15" hidden="false" customHeight="true" outlineLevel="0" collapsed="false">
      <c r="A17" s="9" t="s">
        <v>137</v>
      </c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customFormat="false" ht="15" hidden="false" customHeight="true" outlineLevel="0" collapsed="false">
      <c r="B18" s="47" t="s">
        <v>138</v>
      </c>
      <c r="C18" s="56" t="n">
        <f aca="false">C14*('Debt &amp; Financing'!$C$17/$C$6)</f>
        <v>1599134.67103035</v>
      </c>
      <c r="D18" s="56" t="n">
        <f aca="false">D14*('Debt &amp; Financing'!$C$17/$C$6)</f>
        <v>3065008.11947484</v>
      </c>
      <c r="E18" s="56" t="n">
        <f aca="false">E14*('Debt &amp; Financing'!$C$17/$C$6)</f>
        <v>4397620.34533347</v>
      </c>
      <c r="F18" s="56" t="n">
        <f aca="false">F14*('Debt &amp; Financing'!$C$17/$C$6)</f>
        <v>5596971.34860623</v>
      </c>
      <c r="G18" s="56" t="n">
        <f aca="false">G14*('Debt &amp; Financing'!$C$17/$C$6)</f>
        <v>6663061.12929314</v>
      </c>
      <c r="H18" s="56" t="n">
        <f aca="false">H14*('Debt &amp; Financing'!$C$17/$C$6)</f>
        <v>7595889.68739418</v>
      </c>
      <c r="I18" s="56" t="n">
        <f aca="false">I14*('Debt &amp; Financing'!$C$17/$C$6)</f>
        <v>8395457.02290935</v>
      </c>
      <c r="J18" s="56" t="n">
        <f aca="false">J14*('Debt &amp; Financing'!$C$17/$C$6)</f>
        <v>9061763.13583867</v>
      </c>
      <c r="K18" s="56" t="n">
        <f aca="false">K14*('Debt &amp; Financing'!$C$17/$C$6)</f>
        <v>9594808.02618212</v>
      </c>
      <c r="L18" s="56" t="n">
        <f aca="false">L14*('Debt &amp; Financing'!$C$17/$C$6)</f>
        <v>9994591.6939397</v>
      </c>
      <c r="M18" s="56" t="n">
        <f aca="false">M14*('Debt &amp; Financing'!$C$17/$C$6)</f>
        <v>10261114.1391114</v>
      </c>
      <c r="N18" s="56" t="n">
        <f aca="false">N14*('Debt &amp; Financing'!$C$17/$C$6)</f>
        <v>10394375.3616973</v>
      </c>
      <c r="O18" s="56" t="n">
        <f aca="false">O14*('Debt &amp; Financing'!$C$17/$C$6)</f>
        <v>10394375.3616973</v>
      </c>
      <c r="P18" s="56" t="n">
        <f aca="false">P14*('Debt &amp; Financing'!$C$17/$C$6)</f>
        <v>10261114.1391114</v>
      </c>
      <c r="Q18" s="56" t="n">
        <f aca="false">Q14*('Debt &amp; Financing'!$C$17/$C$6)</f>
        <v>9994591.6939397</v>
      </c>
      <c r="R18" s="56" t="n">
        <f aca="false">R14*('Debt &amp; Financing'!$C$17/$C$6)</f>
        <v>9594808.02618212</v>
      </c>
      <c r="S18" s="56" t="n">
        <f aca="false">S14*('Debt &amp; Financing'!$C$17/$C$6)</f>
        <v>9061763.13583867</v>
      </c>
      <c r="T18" s="56" t="n">
        <f aca="false">T14*('Debt &amp; Financing'!$C$17/$C$6)</f>
        <v>8395457.02290935</v>
      </c>
      <c r="U18" s="56" t="n">
        <f aca="false">U14*('Debt &amp; Financing'!$C$17/$C$6)</f>
        <v>7595889.68739418</v>
      </c>
      <c r="V18" s="56" t="n">
        <f aca="false">V14*('Debt &amp; Financing'!$C$17/$C$6)</f>
        <v>6663061.12929314</v>
      </c>
      <c r="W18" s="56" t="n">
        <f aca="false">W14*('Debt &amp; Financing'!$C$17/$C$6)</f>
        <v>5596971.34860623</v>
      </c>
      <c r="X18" s="56" t="n">
        <f aca="false">X14*('Debt &amp; Financing'!$C$17/$C$6)</f>
        <v>4397620.34533347</v>
      </c>
      <c r="Y18" s="56" t="n">
        <f aca="false">Y14*('Debt &amp; Financing'!$C$17/$C$6)</f>
        <v>3065008.11947484</v>
      </c>
      <c r="Z18" s="56" t="n">
        <f aca="false">Z14*('Debt &amp; Financing'!$C$17/$C$6)</f>
        <v>1599134.67103035</v>
      </c>
    </row>
    <row r="19" customFormat="false" ht="15" hidden="false" customHeight="true" outlineLevel="0" collapsed="false">
      <c r="B19" s="47" t="s">
        <v>139</v>
      </c>
      <c r="C19" s="56" t="n">
        <f aca="false">C18</f>
        <v>1599134.67103035</v>
      </c>
      <c r="D19" s="56" t="n">
        <f aca="false">C19+D18</f>
        <v>4664142.7905052</v>
      </c>
      <c r="E19" s="56" t="n">
        <f aca="false">D19+E18</f>
        <v>9061763.13583867</v>
      </c>
      <c r="F19" s="56" t="n">
        <f aca="false">E19+F18</f>
        <v>14658734.4844449</v>
      </c>
      <c r="G19" s="56" t="n">
        <f aca="false">F19+G18</f>
        <v>21321795.613738</v>
      </c>
      <c r="H19" s="56" t="n">
        <f aca="false">G19+H18</f>
        <v>28917685.3011322</v>
      </c>
      <c r="I19" s="56" t="n">
        <f aca="false">H19+I18</f>
        <v>37313142.3240416</v>
      </c>
      <c r="J19" s="56" t="n">
        <f aca="false">I19+J18</f>
        <v>46374905.4598802</v>
      </c>
      <c r="K19" s="56" t="n">
        <f aca="false">J19+K18</f>
        <v>55969713.4860623</v>
      </c>
      <c r="L19" s="56" t="n">
        <f aca="false">K19+L18</f>
        <v>65964305.1800021</v>
      </c>
      <c r="M19" s="56" t="n">
        <f aca="false">L19+M18</f>
        <v>76225419.3191135</v>
      </c>
      <c r="N19" s="56" t="n">
        <f aca="false">M19+N18</f>
        <v>86619794.6808108</v>
      </c>
      <c r="O19" s="56" t="n">
        <f aca="false">N19+O18</f>
        <v>97014170.0425081</v>
      </c>
      <c r="P19" s="56" t="n">
        <f aca="false">O19+P18</f>
        <v>107275284.181619</v>
      </c>
      <c r="Q19" s="56" t="n">
        <f aca="false">P19+Q18</f>
        <v>117269875.875559</v>
      </c>
      <c r="R19" s="56" t="n">
        <f aca="false">Q19+R18</f>
        <v>126864683.901741</v>
      </c>
      <c r="S19" s="56" t="n">
        <f aca="false">R19+S18</f>
        <v>135926447.03758</v>
      </c>
      <c r="T19" s="56" t="n">
        <f aca="false">S19+T18</f>
        <v>144321904.060489</v>
      </c>
      <c r="U19" s="56" t="n">
        <f aca="false">T19+U18</f>
        <v>151917793.747883</v>
      </c>
      <c r="V19" s="56" t="n">
        <f aca="false">U19+V18</f>
        <v>158580854.877177</v>
      </c>
      <c r="W19" s="56" t="n">
        <f aca="false">V19+W18</f>
        <v>164177826.225783</v>
      </c>
      <c r="X19" s="56" t="n">
        <f aca="false">W19+X18</f>
        <v>168575446.571116</v>
      </c>
      <c r="Y19" s="56" t="n">
        <f aca="false">X19+Y18</f>
        <v>171640454.690591</v>
      </c>
      <c r="Z19" s="56" t="n">
        <f aca="false">Y19+Z18</f>
        <v>173239589.361621</v>
      </c>
    </row>
    <row r="20" customFormat="false" ht="15" hidden="false" customHeight="true" outlineLevel="0" collapsed="false">
      <c r="B20" s="47" t="s">
        <v>140</v>
      </c>
      <c r="C20" s="56" t="n">
        <f aca="false">(0)*Assumptions!$F$40/12</f>
        <v>0</v>
      </c>
      <c r="D20" s="56" t="n">
        <f aca="false">(C19)*Assumptions!$F$40/12</f>
        <v>10327.7447504044</v>
      </c>
      <c r="E20" s="56" t="n">
        <f aca="false">(D19)*Assumptions!$F$40/12</f>
        <v>30122.5888553461</v>
      </c>
      <c r="F20" s="56" t="n">
        <f aca="false">(E19)*Assumptions!$F$40/12</f>
        <v>58523.886918958</v>
      </c>
      <c r="G20" s="56" t="n">
        <f aca="false">(F19)*Assumptions!$F$40/12</f>
        <v>94670.9935453733</v>
      </c>
      <c r="H20" s="56" t="n">
        <f aca="false">(G19)*Assumptions!$F$40/12</f>
        <v>137703.263338725</v>
      </c>
      <c r="I20" s="56" t="n">
        <f aca="false">(H19)*Assumptions!$F$40/12</f>
        <v>186760.050903146</v>
      </c>
      <c r="J20" s="56" t="n">
        <f aca="false">(I19)*Assumptions!$F$40/12</f>
        <v>240980.710842768</v>
      </c>
      <c r="K20" s="56" t="n">
        <f aca="false">(J19)*Assumptions!$F$40/12</f>
        <v>299504.597761727</v>
      </c>
      <c r="L20" s="56" t="n">
        <f aca="false">(K19)*Assumptions!$F$40/12</f>
        <v>361471.066264153</v>
      </c>
      <c r="M20" s="56" t="n">
        <f aca="false">(L19)*Assumptions!$F$40/12</f>
        <v>426019.47095418</v>
      </c>
      <c r="N20" s="56" t="n">
        <f aca="false">(M19)*Assumptions!$F$40/12</f>
        <v>492289.166435941</v>
      </c>
      <c r="O20" s="56" t="n">
        <f aca="false">(N19)*Assumptions!$F$40/12</f>
        <v>559419.50731357</v>
      </c>
      <c r="P20" s="56" t="n">
        <f aca="false">(O19)*Assumptions!$F$40/12</f>
        <v>626549.848191198</v>
      </c>
      <c r="Q20" s="56" t="n">
        <f aca="false">(P19)*Assumptions!$F$40/12</f>
        <v>692819.543672959</v>
      </c>
      <c r="R20" s="56" t="n">
        <f aca="false">(Q19)*Assumptions!$F$40/12</f>
        <v>757367.948362986</v>
      </c>
      <c r="S20" s="56" t="n">
        <f aca="false">(R19)*Assumptions!$F$40/12</f>
        <v>819334.416865413</v>
      </c>
      <c r="T20" s="56" t="n">
        <f aca="false">(S19)*Assumptions!$F$40/12</f>
        <v>877858.303784371</v>
      </c>
      <c r="U20" s="56" t="n">
        <f aca="false">(T19)*Assumptions!$F$40/12</f>
        <v>932078.963723993</v>
      </c>
      <c r="V20" s="56" t="n">
        <f aca="false">(U19)*Assumptions!$F$40/12</f>
        <v>981135.751288414</v>
      </c>
      <c r="W20" s="56" t="n">
        <f aca="false">(V19)*Assumptions!$F$40/12</f>
        <v>1024168.02108177</v>
      </c>
      <c r="X20" s="56" t="n">
        <f aca="false">(W19)*Assumptions!$F$40/12</f>
        <v>1060315.12770818</v>
      </c>
      <c r="Y20" s="56" t="n">
        <f aca="false">(X19)*Assumptions!$F$40/12</f>
        <v>1088716.42577179</v>
      </c>
      <c r="Z20" s="56" t="n">
        <f aca="false">(Y19)*Assumptions!$F$40/12</f>
        <v>1108511.26987673</v>
      </c>
    </row>
    <row r="21" customFormat="false" ht="15" hidden="false" customHeight="true" outlineLevel="0" collapsed="false">
      <c r="B21" s="47" t="s">
        <v>141</v>
      </c>
      <c r="C21" s="56" t="n">
        <f aca="false">C20</f>
        <v>0</v>
      </c>
      <c r="D21" s="56" t="n">
        <f aca="false">C21+D20</f>
        <v>10327.7447504044</v>
      </c>
      <c r="E21" s="56" t="n">
        <f aca="false">D21+E20</f>
        <v>40450.3336057504</v>
      </c>
      <c r="F21" s="56" t="n">
        <f aca="false">E21+F20</f>
        <v>98974.2205247085</v>
      </c>
      <c r="G21" s="56" t="n">
        <f aca="false">F21+G20</f>
        <v>193645.214070082</v>
      </c>
      <c r="H21" s="56" t="n">
        <f aca="false">G21+H20</f>
        <v>331348.477408807</v>
      </c>
      <c r="I21" s="56" t="n">
        <f aca="false">H21+I20</f>
        <v>518108.528311952</v>
      </c>
      <c r="J21" s="56" t="n">
        <f aca="false">I21+J20</f>
        <v>759089.239154721</v>
      </c>
      <c r="K21" s="56" t="n">
        <f aca="false">J21+K20</f>
        <v>1058593.83691645</v>
      </c>
      <c r="L21" s="56" t="n">
        <f aca="false">K21+L20</f>
        <v>1420064.9031806</v>
      </c>
      <c r="M21" s="56" t="n">
        <f aca="false">L21+M20</f>
        <v>1846084.37413478</v>
      </c>
      <c r="N21" s="56" t="n">
        <f aca="false">M21+N20</f>
        <v>2338373.54057072</v>
      </c>
      <c r="O21" s="56" t="n">
        <f aca="false">N21+O20</f>
        <v>2897793.04788429</v>
      </c>
      <c r="P21" s="56" t="n">
        <f aca="false">O21+P20</f>
        <v>3524342.89607549</v>
      </c>
      <c r="Q21" s="56" t="n">
        <f aca="false">P21+Q20</f>
        <v>4217162.43974845</v>
      </c>
      <c r="R21" s="56" t="n">
        <f aca="false">Q21+R20</f>
        <v>4974530.38811143</v>
      </c>
      <c r="S21" s="56" t="n">
        <f aca="false">R21+S20</f>
        <v>5793864.80497685</v>
      </c>
      <c r="T21" s="56" t="n">
        <f aca="false">S21+T20</f>
        <v>6671723.10876122</v>
      </c>
      <c r="U21" s="56" t="n">
        <f aca="false">T21+U20</f>
        <v>7603802.07248521</v>
      </c>
      <c r="V21" s="56" t="n">
        <f aca="false">U21+V20</f>
        <v>8584937.82377362</v>
      </c>
      <c r="W21" s="56" t="n">
        <f aca="false">V21+W20</f>
        <v>9609105.84485539</v>
      </c>
      <c r="X21" s="56" t="n">
        <f aca="false">W21+X20</f>
        <v>10669420.9725636</v>
      </c>
      <c r="Y21" s="56" t="n">
        <f aca="false">X21+Y20</f>
        <v>11758137.3983354</v>
      </c>
      <c r="Z21" s="56" t="n">
        <f aca="false">Y21+Z20</f>
        <v>12866648.6682121</v>
      </c>
    </row>
    <row r="22" customFormat="false" ht="15" hidden="false" customHeight="true" outlineLevel="0" collapsed="false">
      <c r="B22" s="47" t="s">
        <v>142</v>
      </c>
      <c r="C22" s="56" t="n">
        <f aca="false">C14-C18+C20</f>
        <v>2863942.25204657</v>
      </c>
      <c r="D22" s="56" t="n">
        <f aca="false">D14-D18+D20</f>
        <v>5499550.39450633</v>
      </c>
      <c r="E22" s="56" t="n">
        <f aca="false">E14-E18+E20</f>
        <v>7905963.78198342</v>
      </c>
      <c r="F22" s="56" t="n">
        <f aca="false">F14-F18+F20</f>
        <v>10082321.769082</v>
      </c>
      <c r="G22" s="56" t="n">
        <f aca="false">G14-G18+G20</f>
        <v>12027763.7104061</v>
      </c>
      <c r="H22" s="56" t="n">
        <f aca="false">H14-H18+H20</f>
        <v>13741428.9605599</v>
      </c>
      <c r="I22" s="56" t="n">
        <f aca="false">I14-I18+I20</f>
        <v>15222456.8741476</v>
      </c>
      <c r="J22" s="56" t="n">
        <f aca="false">J14-J18+J20</f>
        <v>16469986.8057733</v>
      </c>
      <c r="K22" s="56" t="n">
        <f aca="false">K14-K18+K20</f>
        <v>17483158.1100412</v>
      </c>
      <c r="L22" s="56" t="n">
        <f aca="false">L14-L18+L20</f>
        <v>18261110.1415552</v>
      </c>
      <c r="M22" s="56" t="n">
        <f aca="false">M14-M18+M20</f>
        <v>18802982.2549197</v>
      </c>
      <c r="N22" s="56" t="n">
        <f aca="false">N14-N18+N20</f>
        <v>19107913.8047387</v>
      </c>
      <c r="O22" s="56" t="n">
        <f aca="false">O14-O18+O20</f>
        <v>19175044.1456163</v>
      </c>
      <c r="P22" s="56" t="n">
        <f aca="false">P14-P18+P20</f>
        <v>19003512.6321567</v>
      </c>
      <c r="Q22" s="56" t="n">
        <f aca="false">Q14-Q18+Q20</f>
        <v>18592458.618964</v>
      </c>
      <c r="R22" s="56" t="n">
        <f aca="false">R14-R18+R20</f>
        <v>17941021.4606424</v>
      </c>
      <c r="S22" s="56" t="n">
        <f aca="false">S14-S18+S20</f>
        <v>17048340.511796</v>
      </c>
      <c r="T22" s="56" t="n">
        <f aca="false">T14-T18+T20</f>
        <v>15913555.1270289</v>
      </c>
      <c r="U22" s="56" t="n">
        <f aca="false">U14-U18+U20</f>
        <v>14535804.6609452</v>
      </c>
      <c r="V22" s="56" t="n">
        <f aca="false">V14-V18+V20</f>
        <v>12914228.4681491</v>
      </c>
      <c r="W22" s="56" t="n">
        <f aca="false">W14-W18+W20</f>
        <v>11047965.9032448</v>
      </c>
      <c r="X22" s="56" t="n">
        <f aca="false">X14-X18+X20</f>
        <v>8936156.32083625</v>
      </c>
      <c r="Y22" s="56" t="n">
        <f aca="false">Y14-Y18+Y20</f>
        <v>6577939.07552772</v>
      </c>
      <c r="Z22" s="56" t="n">
        <f aca="false">Z14-Z18+Z20</f>
        <v>3972453.52192331</v>
      </c>
    </row>
    <row r="24" customFormat="false" ht="15" hidden="false" customHeight="true" outlineLevel="0" collapsed="false">
      <c r="A24" s="9" t="s">
        <v>143</v>
      </c>
      <c r="B24" s="9"/>
      <c r="C24" s="9"/>
      <c r="D24" s="9"/>
      <c r="E24" s="9"/>
      <c r="F24" s="9"/>
      <c r="G24" s="9"/>
      <c r="H24" s="9"/>
    </row>
    <row r="25" customFormat="false" ht="15" hidden="false" customHeight="true" outlineLevel="0" collapsed="false">
      <c r="B25" s="58" t="s">
        <v>144</v>
      </c>
      <c r="D25" s="58" t="s">
        <v>145</v>
      </c>
    </row>
    <row r="26" customFormat="false" ht="15" hidden="false" customHeight="true" outlineLevel="0" collapsed="false">
      <c r="B26" s="16" t="s">
        <v>146</v>
      </c>
      <c r="C26" s="59" t="n">
        <f aca="false">C4</f>
        <v>380000000</v>
      </c>
      <c r="D26" s="16" t="s">
        <v>147</v>
      </c>
      <c r="E26" s="59" t="n">
        <f aca="false">Z19</f>
        <v>173239589.361621</v>
      </c>
    </row>
    <row r="27" customFormat="false" ht="15" hidden="false" customHeight="true" outlineLevel="0" collapsed="false">
      <c r="B27" s="16" t="s">
        <v>148</v>
      </c>
      <c r="C27" s="59" t="n">
        <f aca="false">C5</f>
        <v>103500000</v>
      </c>
      <c r="D27" s="16" t="s">
        <v>149</v>
      </c>
      <c r="E27" s="59" t="n">
        <f aca="false">SUM(C22:Z22)</f>
        <v>323127059.306591</v>
      </c>
    </row>
    <row r="28" customFormat="false" ht="15" hidden="false" customHeight="true" outlineLevel="0" collapsed="false">
      <c r="B28" s="16" t="s">
        <v>150</v>
      </c>
      <c r="C28" s="59" t="n">
        <f aca="false">Z21</f>
        <v>12866648.6682121</v>
      </c>
      <c r="D28" s="16" t="s">
        <v>151</v>
      </c>
      <c r="E28" s="59" t="n">
        <f aca="false">C29+C30</f>
        <v>11491826.9336414</v>
      </c>
    </row>
    <row r="29" customFormat="false" ht="15" hidden="false" customHeight="true" outlineLevel="0" collapsed="false">
      <c r="B29" s="16" t="s">
        <v>152</v>
      </c>
      <c r="C29" s="59" t="n">
        <f aca="false">Z19*Assumptions!$F$41</f>
        <v>3031692.81382838</v>
      </c>
    </row>
    <row r="30" customFormat="false" ht="15" hidden="false" customHeight="true" outlineLevel="0" collapsed="false">
      <c r="B30" s="16" t="s">
        <v>153</v>
      </c>
      <c r="C30" s="59" t="n">
        <f aca="false">'Debt &amp; Financing'!C36</f>
        <v>8460134.11981307</v>
      </c>
    </row>
    <row r="31" customFormat="false" ht="15" hidden="false" customHeight="true" outlineLevel="0" collapsed="false">
      <c r="B31" s="53" t="s">
        <v>154</v>
      </c>
      <c r="C31" s="54" t="n">
        <f aca="false">SUM(C26:C30)</f>
        <v>507858475.601854</v>
      </c>
      <c r="D31" s="53" t="s">
        <v>155</v>
      </c>
      <c r="E31" s="54" t="n">
        <f aca="false">E26+E27+E28</f>
        <v>507858475.601854</v>
      </c>
    </row>
    <row r="32" customFormat="false" ht="15" hidden="false" customHeight="true" outlineLevel="0" collapsed="false">
      <c r="B32" s="45" t="s">
        <v>156</v>
      </c>
      <c r="C32" s="45" t="str">
        <f aca="false">IF(ABS(C31-E31)&lt;1,"OK","ERROR")</f>
        <v>OK</v>
      </c>
    </row>
  </sheetData>
  <mergeCells count="5">
    <mergeCell ref="B1:F1"/>
    <mergeCell ref="A3:Z3"/>
    <mergeCell ref="A8:Z8"/>
    <mergeCell ref="A17:Z17"/>
    <mergeCell ref="A24:H2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28B22"/>
    <pageSetUpPr fitToPage="false"/>
  </sheetPr>
  <dimension ref="A1:AF3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38"/>
    <col collapsed="false" customWidth="true" hidden="false" outlineLevel="0" max="32" min="3" style="1" width="11"/>
  </cols>
  <sheetData>
    <row r="1" customFormat="false" ht="15.75" hidden="false" customHeight="true" outlineLevel="0" collapsed="false">
      <c r="B1" s="44" t="s">
        <v>157</v>
      </c>
      <c r="C1" s="44"/>
      <c r="D1" s="44"/>
      <c r="E1" s="44"/>
      <c r="F1" s="44"/>
    </row>
    <row r="3" customFormat="false" ht="15" hidden="false" customHeight="true" outlineLevel="0" collapsed="false">
      <c r="A3" s="9" t="s">
        <v>158</v>
      </c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</row>
    <row r="4" customFormat="false" ht="15" hidden="false" customHeight="true" outlineLevel="0" collapsed="false">
      <c r="B4" s="45" t="s">
        <v>117</v>
      </c>
      <c r="C4" s="46" t="n">
        <f aca="false">'Timing &amp; Calendar'!C$10</f>
        <v>1</v>
      </c>
      <c r="D4" s="46" t="n">
        <f aca="false">'Timing &amp; Calendar'!D$10</f>
        <v>2</v>
      </c>
      <c r="E4" s="46" t="n">
        <f aca="false">'Timing &amp; Calendar'!E$10</f>
        <v>3</v>
      </c>
      <c r="F4" s="46" t="n">
        <f aca="false">'Timing &amp; Calendar'!F$10</f>
        <v>4</v>
      </c>
      <c r="G4" s="46" t="n">
        <f aca="false">'Timing &amp; Calendar'!G$10</f>
        <v>5</v>
      </c>
      <c r="H4" s="46" t="n">
        <f aca="false">'Timing &amp; Calendar'!H$10</f>
        <v>6</v>
      </c>
      <c r="I4" s="46" t="n">
        <f aca="false">'Timing &amp; Calendar'!I$10</f>
        <v>7</v>
      </c>
      <c r="J4" s="46" t="n">
        <f aca="false">'Timing &amp; Calendar'!J$10</f>
        <v>8</v>
      </c>
      <c r="K4" s="46" t="n">
        <f aca="false">'Timing &amp; Calendar'!K$10</f>
        <v>9</v>
      </c>
      <c r="L4" s="46" t="n">
        <f aca="false">'Timing &amp; Calendar'!L$10</f>
        <v>10</v>
      </c>
      <c r="M4" s="46" t="n">
        <f aca="false">'Timing &amp; Calendar'!M$10</f>
        <v>11</v>
      </c>
      <c r="N4" s="46" t="n">
        <f aca="false">'Timing &amp; Calendar'!N$10</f>
        <v>12</v>
      </c>
      <c r="O4" s="46" t="n">
        <f aca="false">'Timing &amp; Calendar'!O$10</f>
        <v>13</v>
      </c>
      <c r="P4" s="46" t="n">
        <f aca="false">'Timing &amp; Calendar'!P$10</f>
        <v>14</v>
      </c>
      <c r="Q4" s="46" t="n">
        <f aca="false">'Timing &amp; Calendar'!Q$10</f>
        <v>15</v>
      </c>
      <c r="R4" s="46" t="n">
        <f aca="false">'Timing &amp; Calendar'!R$10</f>
        <v>16</v>
      </c>
      <c r="S4" s="46" t="n">
        <f aca="false">'Timing &amp; Calendar'!S$10</f>
        <v>17</v>
      </c>
      <c r="T4" s="46" t="n">
        <f aca="false">'Timing &amp; Calendar'!T$10</f>
        <v>18</v>
      </c>
      <c r="U4" s="46" t="n">
        <f aca="false">'Timing &amp; Calendar'!U$10</f>
        <v>19</v>
      </c>
      <c r="V4" s="46" t="n">
        <f aca="false">'Timing &amp; Calendar'!V$10</f>
        <v>20</v>
      </c>
      <c r="W4" s="46" t="n">
        <f aca="false">'Timing &amp; Calendar'!W$10</f>
        <v>21</v>
      </c>
      <c r="X4" s="46" t="n">
        <f aca="false">'Timing &amp; Calendar'!X$10</f>
        <v>22</v>
      </c>
      <c r="Y4" s="46" t="n">
        <f aca="false">'Timing &amp; Calendar'!Y$10</f>
        <v>23</v>
      </c>
      <c r="Z4" s="46" t="n">
        <f aca="false">'Timing &amp; Calendar'!Z$10</f>
        <v>24</v>
      </c>
      <c r="AA4" s="46" t="n">
        <f aca="false">'Timing &amp; Calendar'!AA$10</f>
        <v>25</v>
      </c>
      <c r="AB4" s="46" t="n">
        <f aca="false">'Timing &amp; Calendar'!AB$10</f>
        <v>26</v>
      </c>
      <c r="AC4" s="46" t="n">
        <f aca="false">'Timing &amp; Calendar'!AC$10</f>
        <v>27</v>
      </c>
      <c r="AD4" s="46" t="n">
        <f aca="false">'Timing &amp; Calendar'!AD$10</f>
        <v>28</v>
      </c>
      <c r="AE4" s="46" t="n">
        <f aca="false">'Timing &amp; Calendar'!AE$10</f>
        <v>29</v>
      </c>
      <c r="AF4" s="46" t="n">
        <f aca="false">'Timing &amp; Calendar'!AF$10</f>
        <v>30</v>
      </c>
    </row>
    <row r="5" customFormat="false" ht="15" hidden="false" customHeight="true" outlineLevel="0" collapsed="false">
      <c r="B5" s="47" t="s">
        <v>121</v>
      </c>
      <c r="C5" s="49" t="n">
        <f aca="false">'Timing &amp; Calendar'!C$14</f>
        <v>1</v>
      </c>
      <c r="D5" s="49" t="n">
        <f aca="false">'Timing &amp; Calendar'!D$14</f>
        <v>1</v>
      </c>
      <c r="E5" s="49" t="n">
        <f aca="false">'Timing &amp; Calendar'!E$14</f>
        <v>2</v>
      </c>
      <c r="F5" s="49" t="n">
        <f aca="false">'Timing &amp; Calendar'!F$14</f>
        <v>2</v>
      </c>
      <c r="G5" s="49" t="n">
        <f aca="false">'Timing &amp; Calendar'!G$14</f>
        <v>3</v>
      </c>
      <c r="H5" s="49" t="n">
        <f aca="false">'Timing &amp; Calendar'!H$14</f>
        <v>3</v>
      </c>
      <c r="I5" s="49" t="n">
        <f aca="false">'Timing &amp; Calendar'!I$14</f>
        <v>4</v>
      </c>
      <c r="J5" s="49" t="n">
        <f aca="false">'Timing &amp; Calendar'!J$14</f>
        <v>4</v>
      </c>
      <c r="K5" s="49" t="n">
        <f aca="false">'Timing &amp; Calendar'!K$14</f>
        <v>5</v>
      </c>
      <c r="L5" s="49" t="n">
        <f aca="false">'Timing &amp; Calendar'!L$14</f>
        <v>5</v>
      </c>
      <c r="M5" s="49" t="n">
        <f aca="false">'Timing &amp; Calendar'!M$14</f>
        <v>6</v>
      </c>
      <c r="N5" s="49" t="n">
        <f aca="false">'Timing &amp; Calendar'!N$14</f>
        <v>6</v>
      </c>
      <c r="O5" s="49" t="n">
        <f aca="false">'Timing &amp; Calendar'!O$14</f>
        <v>7</v>
      </c>
      <c r="P5" s="49" t="n">
        <f aca="false">'Timing &amp; Calendar'!P$14</f>
        <v>7</v>
      </c>
      <c r="Q5" s="49" t="n">
        <f aca="false">'Timing &amp; Calendar'!Q$14</f>
        <v>8</v>
      </c>
      <c r="R5" s="49" t="n">
        <f aca="false">'Timing &amp; Calendar'!R$14</f>
        <v>8</v>
      </c>
      <c r="S5" s="49" t="n">
        <f aca="false">'Timing &amp; Calendar'!S$14</f>
        <v>9</v>
      </c>
      <c r="T5" s="49" t="n">
        <f aca="false">'Timing &amp; Calendar'!T$14</f>
        <v>9</v>
      </c>
      <c r="U5" s="49" t="n">
        <f aca="false">'Timing &amp; Calendar'!U$14</f>
        <v>10</v>
      </c>
      <c r="V5" s="49" t="n">
        <f aca="false">'Timing &amp; Calendar'!V$14</f>
        <v>10</v>
      </c>
      <c r="W5" s="49" t="n">
        <f aca="false">'Timing &amp; Calendar'!W$14</f>
        <v>11</v>
      </c>
      <c r="X5" s="49" t="n">
        <f aca="false">'Timing &amp; Calendar'!X$14</f>
        <v>11</v>
      </c>
      <c r="Y5" s="49" t="n">
        <f aca="false">'Timing &amp; Calendar'!Y$14</f>
        <v>12</v>
      </c>
      <c r="Z5" s="49" t="n">
        <f aca="false">'Timing &amp; Calendar'!Z$14</f>
        <v>12</v>
      </c>
      <c r="AA5" s="49" t="n">
        <f aca="false">'Timing &amp; Calendar'!AA$14</f>
        <v>13</v>
      </c>
      <c r="AB5" s="49" t="n">
        <f aca="false">'Timing &amp; Calendar'!AB$14</f>
        <v>13</v>
      </c>
      <c r="AC5" s="49" t="n">
        <f aca="false">'Timing &amp; Calendar'!AC$14</f>
        <v>14</v>
      </c>
      <c r="AD5" s="49" t="n">
        <f aca="false">'Timing &amp; Calendar'!AD$14</f>
        <v>14</v>
      </c>
      <c r="AE5" s="49" t="n">
        <f aca="false">'Timing &amp; Calendar'!AE$14</f>
        <v>15</v>
      </c>
      <c r="AF5" s="49" t="n">
        <f aca="false">'Timing &amp; Calendar'!AF$14</f>
        <v>15</v>
      </c>
    </row>
    <row r="6" customFormat="false" ht="15" hidden="false" customHeight="true" outlineLevel="0" collapsed="false">
      <c r="B6" s="47" t="s">
        <v>159</v>
      </c>
      <c r="C6" s="51" t="n">
        <f aca="false">'Timing &amp; Calendar'!C$16</f>
        <v>1</v>
      </c>
      <c r="D6" s="51" t="n">
        <f aca="false">'Timing &amp; Calendar'!D$16</f>
        <v>1.01102297823258</v>
      </c>
      <c r="E6" s="51" t="n">
        <f aca="false">'Timing &amp; Calendar'!E$16</f>
        <v>1.02198477749557</v>
      </c>
      <c r="F6" s="51" t="n">
        <f aca="false">'Timing &amp; Calendar'!F$16</f>
        <v>1.03325009345193</v>
      </c>
      <c r="G6" s="51" t="n">
        <f aca="false">'Timing &amp; Calendar'!G$16</f>
        <v>1.04445288543268</v>
      </c>
      <c r="H6" s="51" t="n">
        <f aca="false">'Timing &amp; Calendar'!H$16</f>
        <v>1.05596586685375</v>
      </c>
      <c r="I6" s="51" t="n">
        <f aca="false">'Timing &amp; Calendar'!I$16</f>
        <v>1.06741494972352</v>
      </c>
      <c r="J6" s="51" t="n">
        <f aca="false">'Timing &amp; Calendar'!J$16</f>
        <v>1.07918104147945</v>
      </c>
      <c r="K6" s="51" t="n">
        <f aca="false">'Timing &amp; Calendar'!K$16</f>
        <v>1.090946826256</v>
      </c>
      <c r="L6" s="51" t="n">
        <f aca="false">'Timing &amp; Calendar'!L$16</f>
        <v>1.10297230937472</v>
      </c>
      <c r="M6" s="51" t="n">
        <f aca="false">'Timing &amp; Calendar'!M$16</f>
        <v>1.11493104949074</v>
      </c>
      <c r="N6" s="51" t="n">
        <f aca="false">'Timing &amp; Calendar'!N$16</f>
        <v>1.1272209101801</v>
      </c>
      <c r="O6" s="51" t="n">
        <f aca="false">'Timing &amp; Calendar'!O$16</f>
        <v>1.1394425605367</v>
      </c>
      <c r="P6" s="51" t="n">
        <f aca="false">'Timing &amp; Calendar'!P$16</f>
        <v>1.15200261107877</v>
      </c>
      <c r="Q6" s="51" t="n">
        <f aca="false">'Timing &amp; Calendar'!Q$16</f>
        <v>1.16449295169908</v>
      </c>
      <c r="R6" s="51" t="n">
        <f aca="false">'Timing &amp; Calendar'!R$16</f>
        <v>1.17732913215765</v>
      </c>
      <c r="S6" s="51" t="n">
        <f aca="false">'Timing &amp; Calendar'!S$16</f>
        <v>1.19016497771804</v>
      </c>
      <c r="T6" s="51" t="n">
        <f aca="false">'Timing &amp; Calendar'!T$16</f>
        <v>1.2032841403606</v>
      </c>
      <c r="U6" s="51" t="n">
        <f aca="false">'Timing &amp; Calendar'!U$16</f>
        <v>1.21633048993619</v>
      </c>
      <c r="V6" s="51" t="n">
        <f aca="false">'Timing &amp; Calendar'!V$16</f>
        <v>1.22973807445038</v>
      </c>
      <c r="W6" s="51" t="n">
        <f aca="false">'Timing &amp; Calendar'!W$16</f>
        <v>1.24307124511852</v>
      </c>
      <c r="X6" s="51" t="n">
        <f aca="false">'Timing &amp; Calendar'!X$16</f>
        <v>1.25677359239501</v>
      </c>
      <c r="Y6" s="51" t="n">
        <f aca="false">'Timing &amp; Calendar'!Y$16</f>
        <v>1.2703998898536</v>
      </c>
      <c r="Z6" s="51" t="n">
        <f aca="false">'Timing &amp; Calendar'!Z$16</f>
        <v>1.28440348018612</v>
      </c>
      <c r="AA6" s="51" t="n">
        <f aca="false">'Timing &amp; Calendar'!AA$16</f>
        <v>1.29840670516254</v>
      </c>
      <c r="AB6" s="51" t="n">
        <f aca="false">'Timing &amp; Calendar'!AB$16</f>
        <v>1.31271901401058</v>
      </c>
      <c r="AC6" s="51" t="n">
        <f aca="false">'Timing &amp; Calendar'!AC$16</f>
        <v>1.3269518876743</v>
      </c>
      <c r="AD6" s="51" t="n">
        <f aca="false">'Timing &amp; Calendar'!AD$16</f>
        <v>1.34157884944781</v>
      </c>
      <c r="AE6" s="51" t="n">
        <f aca="false">'Timing &amp; Calendar'!AE$16</f>
        <v>1.35612462967215</v>
      </c>
      <c r="AF6" s="51" t="n">
        <f aca="false">'Timing &amp; Calendar'!AF$16</f>
        <v>1.37107316194568</v>
      </c>
    </row>
    <row r="7" customFormat="false" ht="15" hidden="false" customHeight="true" outlineLevel="0" collapsed="false">
      <c r="B7" s="47" t="s">
        <v>160</v>
      </c>
      <c r="C7" s="51" t="n">
        <f aca="false">'Timing &amp; Calendar'!C$17</f>
        <v>1</v>
      </c>
      <c r="D7" s="51" t="n">
        <f aca="false">'Timing &amp; Calendar'!D$17</f>
        <v>0.997478044636135</v>
      </c>
      <c r="E7" s="51" t="n">
        <f aca="false">'Timing &amp; Calendar'!E$17</f>
        <v>0.995003413749261</v>
      </c>
      <c r="F7" s="51" t="n">
        <f aca="false">'Timing &amp; Calendar'!F$17</f>
        <v>0.992494059552892</v>
      </c>
      <c r="G7" s="51" t="n">
        <f aca="false">'Timing &amp; Calendar'!G$17</f>
        <v>0.990031793372683</v>
      </c>
      <c r="H7" s="51" t="n">
        <f aca="false">'Timing &amp; Calendar'!H$17</f>
        <v>0.987534977380989</v>
      </c>
      <c r="I7" s="51" t="n">
        <f aca="false">'Timing &amp; Calendar'!I$17</f>
        <v>0.985085014126122</v>
      </c>
      <c r="J7" s="51" t="n">
        <f aca="false">'Timing &amp; Calendar'!J$17</f>
        <v>0.982600673690884</v>
      </c>
      <c r="K7" s="51" t="n">
        <f aca="false">'Timing &amp; Calendar'!K$17</f>
        <v>0.980149500625</v>
      </c>
      <c r="L7" s="51" t="n">
        <f aca="false">'Timing &amp; Calendar'!L$17</f>
        <v>0.977677607334509</v>
      </c>
      <c r="M7" s="51" t="n">
        <f aca="false">'Timing &amp; Calendar'!M$17</f>
        <v>0.975252099106508</v>
      </c>
      <c r="N7" s="51" t="n">
        <f aca="false">'Timing &amp; Calendar'!N$17</f>
        <v>0.972792556844046</v>
      </c>
      <c r="O7" s="51" t="n">
        <f aca="false">'Timing &amp; Calendar'!O$17</f>
        <v>0.970379167877108</v>
      </c>
      <c r="P7" s="51" t="n">
        <f aca="false">'Timing &amp; Calendar'!P$17</f>
        <v>0.967931914929697</v>
      </c>
      <c r="Q7" s="51" t="n">
        <f aca="false">'Timing &amp; Calendar'!Q$17</f>
        <v>0.96553058466889</v>
      </c>
      <c r="R7" s="51" t="n">
        <f aca="false">'Timing &amp; Calendar'!R$17</f>
        <v>0.963095559631908</v>
      </c>
      <c r="S7" s="51" t="n">
        <f aca="false">'Timing &amp; Calendar'!S$17</f>
        <v>0.960693043575437</v>
      </c>
      <c r="T7" s="51" t="n">
        <f aca="false">'Timing &amp; Calendar'!T$17</f>
        <v>0.958270218601164</v>
      </c>
      <c r="U7" s="51" t="n">
        <f aca="false">'Timing &amp; Calendar'!U$17</f>
        <v>0.955892857922727</v>
      </c>
      <c r="V7" s="51" t="n">
        <f aca="false">'Timing &amp; Calendar'!V$17</f>
        <v>0.953482138802408</v>
      </c>
      <c r="W7" s="51" t="n">
        <f aca="false">'Timing &amp; Calendar'!W$17</f>
        <v>0.951116656811651</v>
      </c>
      <c r="X7" s="51" t="n">
        <f aca="false">'Timing &amp; Calendar'!X$17</f>
        <v>0.948717983057343</v>
      </c>
      <c r="Y7" s="51" t="n">
        <f aca="false">'Timing &amp; Calendar'!Y$17</f>
        <v>0.946364320401377</v>
      </c>
      <c r="Z7" s="51" t="n">
        <f aca="false">'Timing &amp; Calendar'!Z$17</f>
        <v>0.94397763182737</v>
      </c>
      <c r="AA7" s="51" t="n">
        <f aca="false">'Timing &amp; Calendar'!AA$17</f>
        <v>0.941622806914376</v>
      </c>
      <c r="AB7" s="51" t="n">
        <f aca="false">'Timing &amp; Calendar'!AB$17</f>
        <v>0.93924807622574</v>
      </c>
      <c r="AC7" s="51" t="n">
        <f aca="false">'Timing &amp; Calendar'!AC$17</f>
        <v>0.936917907343965</v>
      </c>
      <c r="AD7" s="51" t="n">
        <f aca="false">'Timing &amp; Calendar'!AD$17</f>
        <v>0.934555042202037</v>
      </c>
      <c r="AE7" s="51" t="n">
        <f aca="false">'Timing &amp; Calendar'!AE$17</f>
        <v>0.932236516210059</v>
      </c>
      <c r="AF7" s="51" t="n">
        <f aca="false">'Timing &amp; Calendar'!AF$17</f>
        <v>0.929885457327612</v>
      </c>
    </row>
    <row r="9" customFormat="false" ht="15" hidden="false" customHeight="true" outlineLevel="0" collapsed="false">
      <c r="A9" s="9" t="s">
        <v>161</v>
      </c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</row>
    <row r="10" customFormat="false" ht="15" hidden="false" customHeight="true" outlineLevel="0" collapsed="false">
      <c r="B10" s="47" t="s">
        <v>162</v>
      </c>
      <c r="C10" s="60" t="n">
        <f aca="false">IF(C5=1,Assumptions!$F$11,IF(C5=2,Assumptions!$F$12,Assumptions!$F$13))</f>
        <v>0.55</v>
      </c>
      <c r="D10" s="60" t="n">
        <f aca="false">IF(D5=1,Assumptions!$F$11,IF(D5=2,Assumptions!$F$12,Assumptions!$F$13))</f>
        <v>0.55</v>
      </c>
      <c r="E10" s="60" t="n">
        <f aca="false">IF(E5=1,Assumptions!$F$11,IF(E5=2,Assumptions!$F$12,Assumptions!$F$13))</f>
        <v>0.75</v>
      </c>
      <c r="F10" s="60" t="n">
        <f aca="false">IF(F5=1,Assumptions!$F$11,IF(F5=2,Assumptions!$F$12,Assumptions!$F$13))</f>
        <v>0.75</v>
      </c>
      <c r="G10" s="60" t="n">
        <f aca="false">IF(G5=1,Assumptions!$F$11,IF(G5=2,Assumptions!$F$12,Assumptions!$F$13))</f>
        <v>0.9</v>
      </c>
      <c r="H10" s="60" t="n">
        <f aca="false">IF(H5=1,Assumptions!$F$11,IF(H5=2,Assumptions!$F$12,Assumptions!$F$13))</f>
        <v>0.9</v>
      </c>
      <c r="I10" s="60" t="n">
        <f aca="false">IF(I5=1,Assumptions!$F$11,IF(I5=2,Assumptions!$F$12,Assumptions!$F$13))</f>
        <v>0.9</v>
      </c>
      <c r="J10" s="60" t="n">
        <f aca="false">IF(J5=1,Assumptions!$F$11,IF(J5=2,Assumptions!$F$12,Assumptions!$F$13))</f>
        <v>0.9</v>
      </c>
      <c r="K10" s="60" t="n">
        <f aca="false">IF(K5=1,Assumptions!$F$11,IF(K5=2,Assumptions!$F$12,Assumptions!$F$13))</f>
        <v>0.9</v>
      </c>
      <c r="L10" s="60" t="n">
        <f aca="false">IF(L5=1,Assumptions!$F$11,IF(L5=2,Assumptions!$F$12,Assumptions!$F$13))</f>
        <v>0.9</v>
      </c>
      <c r="M10" s="60" t="n">
        <f aca="false">IF(M5=1,Assumptions!$F$11,IF(M5=2,Assumptions!$F$12,Assumptions!$F$13))</f>
        <v>0.9</v>
      </c>
      <c r="N10" s="60" t="n">
        <f aca="false">IF(N5=1,Assumptions!$F$11,IF(N5=2,Assumptions!$F$12,Assumptions!$F$13))</f>
        <v>0.9</v>
      </c>
      <c r="O10" s="60" t="n">
        <f aca="false">IF(O5=1,Assumptions!$F$11,IF(O5=2,Assumptions!$F$12,Assumptions!$F$13))</f>
        <v>0.9</v>
      </c>
      <c r="P10" s="60" t="n">
        <f aca="false">IF(P5=1,Assumptions!$F$11,IF(P5=2,Assumptions!$F$12,Assumptions!$F$13))</f>
        <v>0.9</v>
      </c>
      <c r="Q10" s="60" t="n">
        <f aca="false">IF(Q5=1,Assumptions!$F$11,IF(Q5=2,Assumptions!$F$12,Assumptions!$F$13))</f>
        <v>0.9</v>
      </c>
      <c r="R10" s="60" t="n">
        <f aca="false">IF(R5=1,Assumptions!$F$11,IF(R5=2,Assumptions!$F$12,Assumptions!$F$13))</f>
        <v>0.9</v>
      </c>
      <c r="S10" s="60" t="n">
        <f aca="false">IF(S5=1,Assumptions!$F$11,IF(S5=2,Assumptions!$F$12,Assumptions!$F$13))</f>
        <v>0.9</v>
      </c>
      <c r="T10" s="60" t="n">
        <f aca="false">IF(T5=1,Assumptions!$F$11,IF(T5=2,Assumptions!$F$12,Assumptions!$F$13))</f>
        <v>0.9</v>
      </c>
      <c r="U10" s="60" t="n">
        <f aca="false">IF(U5=1,Assumptions!$F$11,IF(U5=2,Assumptions!$F$12,Assumptions!$F$13))</f>
        <v>0.9</v>
      </c>
      <c r="V10" s="60" t="n">
        <f aca="false">IF(V5=1,Assumptions!$F$11,IF(V5=2,Assumptions!$F$12,Assumptions!$F$13))</f>
        <v>0.9</v>
      </c>
      <c r="W10" s="60" t="n">
        <f aca="false">IF(W5=1,Assumptions!$F$11,IF(W5=2,Assumptions!$F$12,Assumptions!$F$13))</f>
        <v>0.9</v>
      </c>
      <c r="X10" s="60" t="n">
        <f aca="false">IF(X5=1,Assumptions!$F$11,IF(X5=2,Assumptions!$F$12,Assumptions!$F$13))</f>
        <v>0.9</v>
      </c>
      <c r="Y10" s="60" t="n">
        <f aca="false">IF(Y5=1,Assumptions!$F$11,IF(Y5=2,Assumptions!$F$12,Assumptions!$F$13))</f>
        <v>0.9</v>
      </c>
      <c r="Z10" s="60" t="n">
        <f aca="false">IF(Z5=1,Assumptions!$F$11,IF(Z5=2,Assumptions!$F$12,Assumptions!$F$13))</f>
        <v>0.9</v>
      </c>
      <c r="AA10" s="60" t="n">
        <f aca="false">IF(AA5=1,Assumptions!$F$11,IF(AA5=2,Assumptions!$F$12,Assumptions!$F$13))</f>
        <v>0.9</v>
      </c>
      <c r="AB10" s="60" t="n">
        <f aca="false">IF(AB5=1,Assumptions!$F$11,IF(AB5=2,Assumptions!$F$12,Assumptions!$F$13))</f>
        <v>0.9</v>
      </c>
      <c r="AC10" s="60" t="n">
        <f aca="false">IF(AC5=1,Assumptions!$F$11,IF(AC5=2,Assumptions!$F$12,Assumptions!$F$13))</f>
        <v>0.9</v>
      </c>
      <c r="AD10" s="60" t="n">
        <f aca="false">IF(AD5=1,Assumptions!$F$11,IF(AD5=2,Assumptions!$F$12,Assumptions!$F$13))</f>
        <v>0.9</v>
      </c>
      <c r="AE10" s="60" t="n">
        <f aca="false">IF(AE5=1,Assumptions!$F$11,IF(AE5=2,Assumptions!$F$12,Assumptions!$F$13))</f>
        <v>0.9</v>
      </c>
      <c r="AF10" s="60" t="n">
        <f aca="false">IF(AF5=1,Assumptions!$F$11,IF(AF5=2,Assumptions!$F$12,Assumptions!$F$13))</f>
        <v>0.9</v>
      </c>
    </row>
    <row r="11" customFormat="false" ht="15" hidden="false" customHeight="true" outlineLevel="0" collapsed="false">
      <c r="B11" s="47" t="s">
        <v>163</v>
      </c>
      <c r="C11" s="61" t="n">
        <f aca="false">Assumptions!$F$9*C10</f>
        <v>22</v>
      </c>
      <c r="D11" s="61" t="n">
        <f aca="false">Assumptions!$F$9*D10</f>
        <v>22</v>
      </c>
      <c r="E11" s="61" t="n">
        <f aca="false">Assumptions!$F$9*E10</f>
        <v>30</v>
      </c>
      <c r="F11" s="61" t="n">
        <f aca="false">Assumptions!$F$9*F10</f>
        <v>30</v>
      </c>
      <c r="G11" s="61" t="n">
        <f aca="false">Assumptions!$F$9*G10</f>
        <v>36</v>
      </c>
      <c r="H11" s="61" t="n">
        <f aca="false">Assumptions!$F$9*H10</f>
        <v>36</v>
      </c>
      <c r="I11" s="61" t="n">
        <f aca="false">Assumptions!$F$9*I10</f>
        <v>36</v>
      </c>
      <c r="J11" s="61" t="n">
        <f aca="false">Assumptions!$F$9*J10</f>
        <v>36</v>
      </c>
      <c r="K11" s="61" t="n">
        <f aca="false">Assumptions!$F$9*K10</f>
        <v>36</v>
      </c>
      <c r="L11" s="61" t="n">
        <f aca="false">Assumptions!$F$9*L10</f>
        <v>36</v>
      </c>
      <c r="M11" s="61" t="n">
        <f aca="false">Assumptions!$F$9*M10</f>
        <v>36</v>
      </c>
      <c r="N11" s="61" t="n">
        <f aca="false">Assumptions!$F$9*N10</f>
        <v>36</v>
      </c>
      <c r="O11" s="61" t="n">
        <f aca="false">Assumptions!$F$9*O10</f>
        <v>36</v>
      </c>
      <c r="P11" s="61" t="n">
        <f aca="false">Assumptions!$F$9*P10</f>
        <v>36</v>
      </c>
      <c r="Q11" s="61" t="n">
        <f aca="false">Assumptions!$F$9*Q10</f>
        <v>36</v>
      </c>
      <c r="R11" s="61" t="n">
        <f aca="false">Assumptions!$F$9*R10</f>
        <v>36</v>
      </c>
      <c r="S11" s="61" t="n">
        <f aca="false">Assumptions!$F$9*S10</f>
        <v>36</v>
      </c>
      <c r="T11" s="61" t="n">
        <f aca="false">Assumptions!$F$9*T10</f>
        <v>36</v>
      </c>
      <c r="U11" s="61" t="n">
        <f aca="false">Assumptions!$F$9*U10</f>
        <v>36</v>
      </c>
      <c r="V11" s="61" t="n">
        <f aca="false">Assumptions!$F$9*V10</f>
        <v>36</v>
      </c>
      <c r="W11" s="61" t="n">
        <f aca="false">Assumptions!$F$9*W10</f>
        <v>36</v>
      </c>
      <c r="X11" s="61" t="n">
        <f aca="false">Assumptions!$F$9*X10</f>
        <v>36</v>
      </c>
      <c r="Y11" s="61" t="n">
        <f aca="false">Assumptions!$F$9*Y10</f>
        <v>36</v>
      </c>
      <c r="Z11" s="61" t="n">
        <f aca="false">Assumptions!$F$9*Z10</f>
        <v>36</v>
      </c>
      <c r="AA11" s="61" t="n">
        <f aca="false">Assumptions!$F$9*AA10</f>
        <v>36</v>
      </c>
      <c r="AB11" s="61" t="n">
        <f aca="false">Assumptions!$F$9*AB10</f>
        <v>36</v>
      </c>
      <c r="AC11" s="61" t="n">
        <f aca="false">Assumptions!$F$9*AC10</f>
        <v>36</v>
      </c>
      <c r="AD11" s="61" t="n">
        <f aca="false">Assumptions!$F$9*AD10</f>
        <v>36</v>
      </c>
      <c r="AE11" s="61" t="n">
        <f aca="false">Assumptions!$F$9*AE10</f>
        <v>36</v>
      </c>
      <c r="AF11" s="61" t="n">
        <f aca="false">Assumptions!$F$9*AF10</f>
        <v>36</v>
      </c>
    </row>
    <row r="12" customFormat="false" ht="15" hidden="false" customHeight="true" outlineLevel="0" collapsed="false">
      <c r="B12" s="47" t="s">
        <v>164</v>
      </c>
      <c r="C12" s="61" t="n">
        <f aca="false">C11*Assumptions!$F$10</f>
        <v>27.5</v>
      </c>
      <c r="D12" s="61" t="n">
        <f aca="false">D11*Assumptions!$F$10</f>
        <v>27.5</v>
      </c>
      <c r="E12" s="61" t="n">
        <f aca="false">E11*Assumptions!$F$10</f>
        <v>37.5</v>
      </c>
      <c r="F12" s="61" t="n">
        <f aca="false">F11*Assumptions!$F$10</f>
        <v>37.5</v>
      </c>
      <c r="G12" s="61" t="n">
        <f aca="false">G11*Assumptions!$F$10</f>
        <v>45</v>
      </c>
      <c r="H12" s="61" t="n">
        <f aca="false">H11*Assumptions!$F$10</f>
        <v>45</v>
      </c>
      <c r="I12" s="61" t="n">
        <f aca="false">I11*Assumptions!$F$10</f>
        <v>45</v>
      </c>
      <c r="J12" s="61" t="n">
        <f aca="false">J11*Assumptions!$F$10</f>
        <v>45</v>
      </c>
      <c r="K12" s="61" t="n">
        <f aca="false">K11*Assumptions!$F$10</f>
        <v>45</v>
      </c>
      <c r="L12" s="61" t="n">
        <f aca="false">L11*Assumptions!$F$10</f>
        <v>45</v>
      </c>
      <c r="M12" s="61" t="n">
        <f aca="false">M11*Assumptions!$F$10</f>
        <v>45</v>
      </c>
      <c r="N12" s="61" t="n">
        <f aca="false">N11*Assumptions!$F$10</f>
        <v>45</v>
      </c>
      <c r="O12" s="61" t="n">
        <f aca="false">O11*Assumptions!$F$10</f>
        <v>45</v>
      </c>
      <c r="P12" s="61" t="n">
        <f aca="false">P11*Assumptions!$F$10</f>
        <v>45</v>
      </c>
      <c r="Q12" s="61" t="n">
        <f aca="false">Q11*Assumptions!$F$10</f>
        <v>45</v>
      </c>
      <c r="R12" s="61" t="n">
        <f aca="false">R11*Assumptions!$F$10</f>
        <v>45</v>
      </c>
      <c r="S12" s="61" t="n">
        <f aca="false">S11*Assumptions!$F$10</f>
        <v>45</v>
      </c>
      <c r="T12" s="61" t="n">
        <f aca="false">T11*Assumptions!$F$10</f>
        <v>45</v>
      </c>
      <c r="U12" s="61" t="n">
        <f aca="false">U11*Assumptions!$F$10</f>
        <v>45</v>
      </c>
      <c r="V12" s="61" t="n">
        <f aca="false">V11*Assumptions!$F$10</f>
        <v>45</v>
      </c>
      <c r="W12" s="61" t="n">
        <f aca="false">W11*Assumptions!$F$10</f>
        <v>45</v>
      </c>
      <c r="X12" s="61" t="n">
        <f aca="false">X11*Assumptions!$F$10</f>
        <v>45</v>
      </c>
      <c r="Y12" s="61" t="n">
        <f aca="false">Y11*Assumptions!$F$10</f>
        <v>45</v>
      </c>
      <c r="Z12" s="61" t="n">
        <f aca="false">Z11*Assumptions!$F$10</f>
        <v>45</v>
      </c>
      <c r="AA12" s="61" t="n">
        <f aca="false">AA11*Assumptions!$F$10</f>
        <v>45</v>
      </c>
      <c r="AB12" s="61" t="n">
        <f aca="false">AB11*Assumptions!$F$10</f>
        <v>45</v>
      </c>
      <c r="AC12" s="61" t="n">
        <f aca="false">AC11*Assumptions!$F$10</f>
        <v>45</v>
      </c>
      <c r="AD12" s="61" t="n">
        <f aca="false">AD11*Assumptions!$F$10</f>
        <v>45</v>
      </c>
      <c r="AE12" s="61" t="n">
        <f aca="false">AE11*Assumptions!$F$10</f>
        <v>45</v>
      </c>
      <c r="AF12" s="61" t="n">
        <f aca="false">AF11*Assumptions!$F$10</f>
        <v>45</v>
      </c>
    </row>
    <row r="13" customFormat="false" ht="15" hidden="false" customHeight="true" outlineLevel="0" collapsed="false">
      <c r="B13" s="47" t="s">
        <v>165</v>
      </c>
      <c r="C13" s="49" t="n">
        <f aca="false">C12*182.625*24</f>
        <v>120532.5</v>
      </c>
      <c r="D13" s="49" t="n">
        <f aca="false">D12*182.625*24</f>
        <v>120532.5</v>
      </c>
      <c r="E13" s="49" t="n">
        <f aca="false">E12*182.625*24</f>
        <v>164362.5</v>
      </c>
      <c r="F13" s="49" t="n">
        <f aca="false">F12*182.625*24</f>
        <v>164362.5</v>
      </c>
      <c r="G13" s="49" t="n">
        <f aca="false">G12*182.625*24</f>
        <v>197235</v>
      </c>
      <c r="H13" s="49" t="n">
        <f aca="false">H12*182.625*24</f>
        <v>197235</v>
      </c>
      <c r="I13" s="49" t="n">
        <f aca="false">I12*182.625*24</f>
        <v>197235</v>
      </c>
      <c r="J13" s="49" t="n">
        <f aca="false">J12*182.625*24</f>
        <v>197235</v>
      </c>
      <c r="K13" s="49" t="n">
        <f aca="false">K12*182.625*24</f>
        <v>197235</v>
      </c>
      <c r="L13" s="49" t="n">
        <f aca="false">L12*182.625*24</f>
        <v>197235</v>
      </c>
      <c r="M13" s="49" t="n">
        <f aca="false">M12*182.625*24</f>
        <v>197235</v>
      </c>
      <c r="N13" s="49" t="n">
        <f aca="false">N12*182.625*24</f>
        <v>197235</v>
      </c>
      <c r="O13" s="49" t="n">
        <f aca="false">O12*182.625*24</f>
        <v>197235</v>
      </c>
      <c r="P13" s="49" t="n">
        <f aca="false">P12*182.625*24</f>
        <v>197235</v>
      </c>
      <c r="Q13" s="49" t="n">
        <f aca="false">Q12*182.625*24</f>
        <v>197235</v>
      </c>
      <c r="R13" s="49" t="n">
        <f aca="false">R12*182.625*24</f>
        <v>197235</v>
      </c>
      <c r="S13" s="49" t="n">
        <f aca="false">S12*182.625*24</f>
        <v>197235</v>
      </c>
      <c r="T13" s="49" t="n">
        <f aca="false">T12*182.625*24</f>
        <v>197235</v>
      </c>
      <c r="U13" s="49" t="n">
        <f aca="false">U12*182.625*24</f>
        <v>197235</v>
      </c>
      <c r="V13" s="49" t="n">
        <f aca="false">V12*182.625*24</f>
        <v>197235</v>
      </c>
      <c r="W13" s="49" t="n">
        <f aca="false">W12*182.625*24</f>
        <v>197235</v>
      </c>
      <c r="X13" s="49" t="n">
        <f aca="false">X12*182.625*24</f>
        <v>197235</v>
      </c>
      <c r="Y13" s="49" t="n">
        <f aca="false">Y12*182.625*24</f>
        <v>197235</v>
      </c>
      <c r="Z13" s="49" t="n">
        <f aca="false">Z12*182.625*24</f>
        <v>197235</v>
      </c>
      <c r="AA13" s="49" t="n">
        <f aca="false">AA12*182.625*24</f>
        <v>197235</v>
      </c>
      <c r="AB13" s="49" t="n">
        <f aca="false">AB12*182.625*24</f>
        <v>197235</v>
      </c>
      <c r="AC13" s="49" t="n">
        <f aca="false">AC12*182.625*24</f>
        <v>197235</v>
      </c>
      <c r="AD13" s="49" t="n">
        <f aca="false">AD12*182.625*24</f>
        <v>197235</v>
      </c>
      <c r="AE13" s="49" t="n">
        <f aca="false">AE12*182.625*24</f>
        <v>197235</v>
      </c>
      <c r="AF13" s="49" t="n">
        <f aca="false">AF12*182.625*24</f>
        <v>197235</v>
      </c>
    </row>
    <row r="15" customFormat="false" ht="15" hidden="false" customHeight="true" outlineLevel="0" collapsed="false">
      <c r="A15" s="9" t="s">
        <v>166</v>
      </c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</row>
    <row r="16" customFormat="false" ht="15" hidden="false" customHeight="true" outlineLevel="0" collapsed="false">
      <c r="B16" s="47" t="s">
        <v>167</v>
      </c>
      <c r="C16" s="49" t="n">
        <f aca="false">Assumptions!$F$20*Assumptions!$F$21*(1-Assumptions!$F$23)*C7*(182.625/365.25)</f>
        <v>73332</v>
      </c>
      <c r="D16" s="49" t="n">
        <f aca="false">Assumptions!$F$20*Assumptions!$F$21*(1-Assumptions!$F$23)*D7*(182.625/365.25)</f>
        <v>73147.059969257</v>
      </c>
      <c r="E16" s="49" t="n">
        <f aca="false">Assumptions!$F$20*Assumptions!$F$21*(1-Assumptions!$F$23)*E7*(182.625/365.25)</f>
        <v>72965.5903370608</v>
      </c>
      <c r="F16" s="49" t="n">
        <f aca="false">Assumptions!$F$20*Assumptions!$F$21*(1-Assumptions!$F$23)*F7*(182.625/365.25)</f>
        <v>72781.5743751327</v>
      </c>
      <c r="G16" s="49" t="n">
        <f aca="false">Assumptions!$F$20*Assumptions!$F$21*(1-Assumptions!$F$23)*G7*(182.625/365.25)</f>
        <v>72601.0114716056</v>
      </c>
      <c r="H16" s="49" t="n">
        <f aca="false">Assumptions!$F$20*Assumptions!$F$21*(1-Assumptions!$F$23)*H7*(182.625/365.25)</f>
        <v>72417.9149613027</v>
      </c>
      <c r="I16" s="49" t="n">
        <f aca="false">Assumptions!$F$20*Assumptions!$F$21*(1-Assumptions!$F$23)*I7*(182.625/365.25)</f>
        <v>72238.2542558968</v>
      </c>
      <c r="J16" s="49" t="n">
        <f aca="false">Assumptions!$F$20*Assumptions!$F$21*(1-Assumptions!$F$23)*J7*(182.625/365.25)</f>
        <v>72056.0726030999</v>
      </c>
      <c r="K16" s="49" t="n">
        <f aca="false">Assumptions!$F$20*Assumptions!$F$21*(1-Assumptions!$F$23)*K7*(182.625/365.25)</f>
        <v>71876.3231798325</v>
      </c>
      <c r="L16" s="49" t="n">
        <f aca="false">Assumptions!$F$20*Assumptions!$F$21*(1-Assumptions!$F$23)*L7*(182.625/365.25)</f>
        <v>71695.0543010542</v>
      </c>
      <c r="M16" s="49" t="n">
        <f aca="false">Assumptions!$F$20*Assumptions!$F$21*(1-Assumptions!$F$23)*M7*(182.625/365.25)</f>
        <v>71517.1869316785</v>
      </c>
      <c r="N16" s="49" t="n">
        <f aca="false">Assumptions!$F$20*Assumptions!$F$21*(1-Assumptions!$F$23)*N7*(182.625/365.25)</f>
        <v>71336.8237784876</v>
      </c>
      <c r="O16" s="49" t="n">
        <f aca="false">Assumptions!$F$20*Assumptions!$F$21*(1-Assumptions!$F$23)*O7*(182.625/365.25)</f>
        <v>71159.8451387641</v>
      </c>
      <c r="P16" s="49" t="n">
        <f aca="false">Assumptions!$F$20*Assumptions!$F$21*(1-Assumptions!$F$23)*P7*(182.625/365.25)</f>
        <v>70980.3831856246</v>
      </c>
      <c r="Q16" s="49" t="n">
        <f aca="false">Assumptions!$F$20*Assumptions!$F$21*(1-Assumptions!$F$23)*Q7*(182.625/365.25)</f>
        <v>70804.288834939</v>
      </c>
      <c r="R16" s="49" t="n">
        <f aca="false">Assumptions!$F$20*Assumptions!$F$21*(1-Assumptions!$F$23)*R7*(182.625/365.25)</f>
        <v>70625.7235789271</v>
      </c>
      <c r="S16" s="49" t="n">
        <f aca="false">Assumptions!$F$20*Assumptions!$F$21*(1-Assumptions!$F$23)*S7*(182.625/365.25)</f>
        <v>70449.5422714739</v>
      </c>
      <c r="T16" s="49" t="n">
        <f aca="false">Assumptions!$F$20*Assumptions!$F$21*(1-Assumptions!$F$23)*T7*(182.625/365.25)</f>
        <v>70271.8716704605</v>
      </c>
      <c r="U16" s="49" t="n">
        <f aca="false">Assumptions!$F$20*Assumptions!$F$21*(1-Assumptions!$F$23)*U7*(182.625/365.25)</f>
        <v>70097.5350571894</v>
      </c>
      <c r="V16" s="49" t="n">
        <f aca="false">Assumptions!$F$20*Assumptions!$F$21*(1-Assumptions!$F$23)*V7*(182.625/365.25)</f>
        <v>69920.7522026582</v>
      </c>
      <c r="W16" s="49" t="n">
        <f aca="false">Assumptions!$F$20*Assumptions!$F$21*(1-Assumptions!$F$23)*W7*(182.625/365.25)</f>
        <v>69747.286677312</v>
      </c>
      <c r="X16" s="49" t="n">
        <f aca="false">Assumptions!$F$20*Assumptions!$F$21*(1-Assumptions!$F$23)*X7*(182.625/365.25)</f>
        <v>69571.3871335611</v>
      </c>
      <c r="Y16" s="49" t="n">
        <f aca="false">Assumptions!$F$20*Assumptions!$F$21*(1-Assumptions!$F$23)*Y7*(182.625/365.25)</f>
        <v>69398.7883436738</v>
      </c>
      <c r="Z16" s="49" t="n">
        <f aca="false">Assumptions!$F$20*Assumptions!$F$21*(1-Assumptions!$F$23)*Z7*(182.625/365.25)</f>
        <v>69223.7676971647</v>
      </c>
      <c r="AA16" s="49" t="n">
        <f aca="false">Assumptions!$F$20*Assumptions!$F$21*(1-Assumptions!$F$23)*AA7*(182.625/365.25)</f>
        <v>69051.083676645</v>
      </c>
      <c r="AB16" s="49" t="n">
        <f aca="false">Assumptions!$F$20*Assumptions!$F$21*(1-Assumptions!$F$23)*AB7*(182.625/365.25)</f>
        <v>68876.939925786</v>
      </c>
      <c r="AC16" s="49" t="n">
        <f aca="false">Assumptions!$F$20*Assumptions!$F$21*(1-Assumptions!$F$23)*AC7*(182.625/365.25)</f>
        <v>68706.0639813476</v>
      </c>
      <c r="AD16" s="49" t="n">
        <f aca="false">Assumptions!$F$20*Assumptions!$F$21*(1-Assumptions!$F$23)*AD7*(182.625/365.25)</f>
        <v>68532.7903547598</v>
      </c>
      <c r="AE16" s="49" t="n">
        <f aca="false">Assumptions!$F$20*Assumptions!$F$21*(1-Assumptions!$F$23)*AE7*(182.625/365.25)</f>
        <v>68362.7682067161</v>
      </c>
      <c r="AF16" s="49" t="n">
        <f aca="false">Assumptions!$F$20*Assumptions!$F$21*(1-Assumptions!$F$23)*AF7*(182.625/365.25)</f>
        <v>68190.3603567484</v>
      </c>
    </row>
    <row r="17" customFormat="false" ht="15" hidden="false" customHeight="true" outlineLevel="0" collapsed="false">
      <c r="B17" s="47" t="s">
        <v>168</v>
      </c>
      <c r="C17" s="49" t="n">
        <f aca="false">C16*Assumptions!$F$26*(1-Assumptions!$F$25)</f>
        <v>2199.96</v>
      </c>
      <c r="D17" s="49" t="n">
        <f aca="false">D16*Assumptions!$F$26*(1-Assumptions!$F$25)</f>
        <v>2194.41179907771</v>
      </c>
      <c r="E17" s="49" t="n">
        <f aca="false">E16*Assumptions!$F$26*(1-Assumptions!$F$25)</f>
        <v>2188.96771011182</v>
      </c>
      <c r="F17" s="49" t="n">
        <f aca="false">F16*Assumptions!$F$26*(1-Assumptions!$F$25)</f>
        <v>2183.44723125398</v>
      </c>
      <c r="G17" s="49" t="n">
        <f aca="false">G16*Assumptions!$F$26*(1-Assumptions!$F$25)</f>
        <v>2178.03034414817</v>
      </c>
      <c r="H17" s="49" t="n">
        <f aca="false">H16*Assumptions!$F$26*(1-Assumptions!$F$25)</f>
        <v>2172.53744883908</v>
      </c>
      <c r="I17" s="49" t="n">
        <f aca="false">I16*Assumptions!$F$26*(1-Assumptions!$F$25)</f>
        <v>2167.1476276769</v>
      </c>
      <c r="J17" s="49" t="n">
        <f aca="false">J16*Assumptions!$F$26*(1-Assumptions!$F$25)</f>
        <v>2161.682178093</v>
      </c>
      <c r="K17" s="49" t="n">
        <f aca="false">K16*Assumptions!$F$26*(1-Assumptions!$F$25)</f>
        <v>2156.28969539497</v>
      </c>
      <c r="L17" s="49" t="n">
        <f aca="false">L16*Assumptions!$F$26*(1-Assumptions!$F$25)</f>
        <v>2150.85162903163</v>
      </c>
      <c r="M17" s="49" t="n">
        <f aca="false">M16*Assumptions!$F$26*(1-Assumptions!$F$25)</f>
        <v>2145.51560795035</v>
      </c>
      <c r="N17" s="49" t="n">
        <f aca="false">N16*Assumptions!$F$26*(1-Assumptions!$F$25)</f>
        <v>2140.10471335463</v>
      </c>
      <c r="O17" s="49" t="n">
        <f aca="false">O16*Assumptions!$F$26*(1-Assumptions!$F$25)</f>
        <v>2134.79535416292</v>
      </c>
      <c r="P17" s="49" t="n">
        <f aca="false">P16*Assumptions!$F$26*(1-Assumptions!$F$25)</f>
        <v>2129.41149556874</v>
      </c>
      <c r="Q17" s="49" t="n">
        <f aca="false">Q16*Assumptions!$F$26*(1-Assumptions!$F$25)</f>
        <v>2124.12866504817</v>
      </c>
      <c r="R17" s="49" t="n">
        <f aca="false">R16*Assumptions!$F$26*(1-Assumptions!$F$25)</f>
        <v>2118.77170736781</v>
      </c>
      <c r="S17" s="49" t="n">
        <f aca="false">S16*Assumptions!$F$26*(1-Assumptions!$F$25)</f>
        <v>2113.48626814422</v>
      </c>
      <c r="T17" s="49" t="n">
        <f aca="false">T16*Assumptions!$F$26*(1-Assumptions!$F$25)</f>
        <v>2108.15615011382</v>
      </c>
      <c r="U17" s="49" t="n">
        <f aca="false">U16*Assumptions!$F$26*(1-Assumptions!$F$25)</f>
        <v>2102.92605171568</v>
      </c>
      <c r="V17" s="49" t="n">
        <f aca="false">V16*Assumptions!$F$26*(1-Assumptions!$F$25)</f>
        <v>2097.62256607975</v>
      </c>
      <c r="W17" s="49" t="n">
        <f aca="false">W16*Assumptions!$F$26*(1-Assumptions!$F$25)</f>
        <v>2092.41860031936</v>
      </c>
      <c r="X17" s="49" t="n">
        <f aca="false">X16*Assumptions!$F$26*(1-Assumptions!$F$25)</f>
        <v>2087.14161400683</v>
      </c>
      <c r="Y17" s="49" t="n">
        <f aca="false">Y16*Assumptions!$F$26*(1-Assumptions!$F$25)</f>
        <v>2081.96365031021</v>
      </c>
      <c r="Z17" s="49" t="n">
        <f aca="false">Z16*Assumptions!$F$26*(1-Assumptions!$F$25)</f>
        <v>2076.71303091494</v>
      </c>
      <c r="AA17" s="49" t="n">
        <f aca="false">AA16*Assumptions!$F$26*(1-Assumptions!$F$25)</f>
        <v>2071.53251029935</v>
      </c>
      <c r="AB17" s="49" t="n">
        <f aca="false">AB16*Assumptions!$F$26*(1-Assumptions!$F$25)</f>
        <v>2066.30819777358</v>
      </c>
      <c r="AC17" s="49" t="n">
        <f aca="false">AC16*Assumptions!$F$26*(1-Assumptions!$F$25)</f>
        <v>2061.18191944043</v>
      </c>
      <c r="AD17" s="49" t="n">
        <f aca="false">AD16*Assumptions!$F$26*(1-Assumptions!$F$25)</f>
        <v>2055.98371064279</v>
      </c>
      <c r="AE17" s="49" t="n">
        <f aca="false">AE16*Assumptions!$F$26*(1-Assumptions!$F$25)</f>
        <v>2050.88304620148</v>
      </c>
      <c r="AF17" s="49" t="n">
        <f aca="false">AF16*Assumptions!$F$26*(1-Assumptions!$F$25)</f>
        <v>2045.71081070245</v>
      </c>
    </row>
    <row r="18" customFormat="false" ht="15" hidden="false" customHeight="true" outlineLevel="0" collapsed="false">
      <c r="B18" s="45" t="s">
        <v>169</v>
      </c>
      <c r="C18" s="62" t="n">
        <f aca="false">C16-C17</f>
        <v>71132.04</v>
      </c>
      <c r="D18" s="62" t="n">
        <f aca="false">D16-D17</f>
        <v>70952.6481701793</v>
      </c>
      <c r="E18" s="62" t="n">
        <f aca="false">E16-E17</f>
        <v>70776.622626949</v>
      </c>
      <c r="F18" s="62" t="n">
        <f aca="false">F16-F17</f>
        <v>70598.1271438787</v>
      </c>
      <c r="G18" s="62" t="n">
        <f aca="false">G16-G17</f>
        <v>70422.9811274574</v>
      </c>
      <c r="H18" s="62" t="n">
        <f aca="false">H16-H17</f>
        <v>70245.3775124636</v>
      </c>
      <c r="I18" s="62" t="n">
        <f aca="false">I16-I17</f>
        <v>70071.1066282199</v>
      </c>
      <c r="J18" s="62" t="n">
        <f aca="false">J16-J17</f>
        <v>69894.3904250069</v>
      </c>
      <c r="K18" s="62" t="n">
        <f aca="false">K16-K17</f>
        <v>69720.0334844375</v>
      </c>
      <c r="L18" s="62" t="n">
        <f aca="false">L16-L17</f>
        <v>69544.2026720226</v>
      </c>
      <c r="M18" s="62" t="n">
        <f aca="false">M16-M17</f>
        <v>69371.6713237281</v>
      </c>
      <c r="N18" s="62" t="n">
        <f aca="false">N16-N17</f>
        <v>69196.7190651329</v>
      </c>
      <c r="O18" s="62" t="n">
        <f aca="false">O16-O17</f>
        <v>69025.0497846012</v>
      </c>
      <c r="P18" s="62" t="n">
        <f aca="false">P16-P17</f>
        <v>68850.9716900558</v>
      </c>
      <c r="Q18" s="62" t="n">
        <f aca="false">Q16-Q17</f>
        <v>68680.1601698909</v>
      </c>
      <c r="R18" s="62" t="n">
        <f aca="false">R16-R17</f>
        <v>68506.9518715593</v>
      </c>
      <c r="S18" s="62" t="n">
        <f aca="false">S16-S17</f>
        <v>68336.0560033297</v>
      </c>
      <c r="T18" s="62" t="n">
        <f aca="false">T16-T17</f>
        <v>68163.7155203467</v>
      </c>
      <c r="U18" s="62" t="n">
        <f aca="false">U16-U17</f>
        <v>67994.6090054737</v>
      </c>
      <c r="V18" s="62" t="n">
        <f aca="false">V16-V17</f>
        <v>67823.1296365785</v>
      </c>
      <c r="W18" s="62" t="n">
        <f aca="false">W16-W17</f>
        <v>67654.8680769926</v>
      </c>
      <c r="X18" s="62" t="n">
        <f aca="false">X16-X17</f>
        <v>67484.2455195542</v>
      </c>
      <c r="Y18" s="62" t="n">
        <f aca="false">Y16-Y17</f>
        <v>67316.8246933636</v>
      </c>
      <c r="Z18" s="62" t="n">
        <f aca="false">Z16-Z17</f>
        <v>67147.0546662497</v>
      </c>
      <c r="AA18" s="62" t="n">
        <f aca="false">AA16-AA17</f>
        <v>66979.5511663456</v>
      </c>
      <c r="AB18" s="62" t="n">
        <f aca="false">AB16-AB17</f>
        <v>66810.6317280124</v>
      </c>
      <c r="AC18" s="62" t="n">
        <f aca="false">AC16-AC17</f>
        <v>66644.8820619072</v>
      </c>
      <c r="AD18" s="62" t="n">
        <f aca="false">AD16-AD17</f>
        <v>66476.806644117</v>
      </c>
      <c r="AE18" s="62" t="n">
        <f aca="false">AE16-AE17</f>
        <v>66311.8851605146</v>
      </c>
      <c r="AF18" s="62" t="n">
        <f aca="false">AF16-AF17</f>
        <v>66144.649546046</v>
      </c>
    </row>
    <row r="19" customFormat="false" ht="15" hidden="false" customHeight="true" outlineLevel="0" collapsed="false">
      <c r="B19" s="47" t="s">
        <v>170</v>
      </c>
      <c r="C19" s="49" t="n">
        <f aca="false">MAX(0,C13-C18)</f>
        <v>49400.46</v>
      </c>
      <c r="D19" s="49" t="n">
        <f aca="false">MAX(0,D13-D18)</f>
        <v>49579.8518298207</v>
      </c>
      <c r="E19" s="49" t="n">
        <f aca="false">MAX(0,E13-E18)</f>
        <v>93585.877373051</v>
      </c>
      <c r="F19" s="49" t="n">
        <f aca="false">MAX(0,F13-F18)</f>
        <v>93764.3728561213</v>
      </c>
      <c r="G19" s="49" t="n">
        <f aca="false">MAX(0,G13-G18)</f>
        <v>126812.018872543</v>
      </c>
      <c r="H19" s="49" t="n">
        <f aca="false">MAX(0,H13-H18)</f>
        <v>126989.622487536</v>
      </c>
      <c r="I19" s="49" t="n">
        <f aca="false">MAX(0,I13-I18)</f>
        <v>127163.89337178</v>
      </c>
      <c r="J19" s="49" t="n">
        <f aca="false">MAX(0,J13-J18)</f>
        <v>127340.609574993</v>
      </c>
      <c r="K19" s="49" t="n">
        <f aca="false">MAX(0,K13-K18)</f>
        <v>127514.966515562</v>
      </c>
      <c r="L19" s="49" t="n">
        <f aca="false">MAX(0,L13-L18)</f>
        <v>127690.797327977</v>
      </c>
      <c r="M19" s="49" t="n">
        <f aca="false">MAX(0,M13-M18)</f>
        <v>127863.328676272</v>
      </c>
      <c r="N19" s="49" t="n">
        <f aca="false">MAX(0,N13-N18)</f>
        <v>128038.280934867</v>
      </c>
      <c r="O19" s="49" t="n">
        <f aca="false">MAX(0,O13-O18)</f>
        <v>128209.950215399</v>
      </c>
      <c r="P19" s="49" t="n">
        <f aca="false">MAX(0,P13-P18)</f>
        <v>128384.028309944</v>
      </c>
      <c r="Q19" s="49" t="n">
        <f aca="false">MAX(0,Q13-Q18)</f>
        <v>128554.839830109</v>
      </c>
      <c r="R19" s="49" t="n">
        <f aca="false">MAX(0,R13-R18)</f>
        <v>128728.048128441</v>
      </c>
      <c r="S19" s="49" t="n">
        <f aca="false">MAX(0,S13-S18)</f>
        <v>128898.94399667</v>
      </c>
      <c r="T19" s="49" t="n">
        <f aca="false">MAX(0,T13-T18)</f>
        <v>129071.284479653</v>
      </c>
      <c r="U19" s="49" t="n">
        <f aca="false">MAX(0,U13-U18)</f>
        <v>129240.390994526</v>
      </c>
      <c r="V19" s="49" t="n">
        <f aca="false">MAX(0,V13-V18)</f>
        <v>129411.870363422</v>
      </c>
      <c r="W19" s="49" t="n">
        <f aca="false">MAX(0,W13-W18)</f>
        <v>129580.131923007</v>
      </c>
      <c r="X19" s="49" t="n">
        <f aca="false">MAX(0,X13-X18)</f>
        <v>129750.754480446</v>
      </c>
      <c r="Y19" s="49" t="n">
        <f aca="false">MAX(0,Y13-Y18)</f>
        <v>129918.175306636</v>
      </c>
      <c r="Z19" s="49" t="n">
        <f aca="false">MAX(0,Z13-Z18)</f>
        <v>130087.94533375</v>
      </c>
      <c r="AA19" s="49" t="n">
        <f aca="false">MAX(0,AA13-AA18)</f>
        <v>130255.448833654</v>
      </c>
      <c r="AB19" s="49" t="n">
        <f aca="false">MAX(0,AB13-AB18)</f>
        <v>130424.368271988</v>
      </c>
      <c r="AC19" s="49" t="n">
        <f aca="false">MAX(0,AC13-AC18)</f>
        <v>130590.117938093</v>
      </c>
      <c r="AD19" s="49" t="n">
        <f aca="false">MAX(0,AD13-AD18)</f>
        <v>130758.193355883</v>
      </c>
      <c r="AE19" s="49" t="n">
        <f aca="false">MAX(0,AE13-AE18)</f>
        <v>130923.114839485</v>
      </c>
      <c r="AF19" s="49" t="n">
        <f aca="false">MAX(0,AF13-AF18)</f>
        <v>131090.350453954</v>
      </c>
    </row>
    <row r="20" customFormat="false" ht="15" hidden="false" customHeight="true" outlineLevel="0" collapsed="false">
      <c r="B20" s="47" t="s">
        <v>171</v>
      </c>
      <c r="C20" s="60" t="n">
        <f aca="false">MIN(1,C18/C13)</f>
        <v>0.590148217285794</v>
      </c>
      <c r="D20" s="60" t="n">
        <f aca="false">MIN(1,D18/D13)</f>
        <v>0.588659889823735</v>
      </c>
      <c r="E20" s="60" t="n">
        <f aca="false">MIN(1,E18/E13)</f>
        <v>0.430612959932764</v>
      </c>
      <c r="F20" s="60" t="n">
        <f aca="false">MIN(1,F18/F13)</f>
        <v>0.429526973268712</v>
      </c>
      <c r="G20" s="60" t="n">
        <f aca="false">MIN(1,G18/G13)</f>
        <v>0.357051137614812</v>
      </c>
      <c r="H20" s="60" t="n">
        <f aca="false">MIN(1,H18/H13)</f>
        <v>0.35615067058313</v>
      </c>
      <c r="I20" s="60" t="n">
        <f aca="false">MIN(1,I18/I13)</f>
        <v>0.355267100809795</v>
      </c>
      <c r="J20" s="60" t="n">
        <f aca="false">MIN(1,J18/J13)</f>
        <v>0.354371133039303</v>
      </c>
      <c r="K20" s="60" t="n">
        <f aca="false">MIN(1,K18/K13)</f>
        <v>0.353487126952303</v>
      </c>
      <c r="L20" s="60" t="n">
        <f aca="false">MIN(1,L18/L13)</f>
        <v>0.352595648196428</v>
      </c>
      <c r="M20" s="60" t="n">
        <f aca="false">MIN(1,M18/M13)</f>
        <v>0.35172089803396</v>
      </c>
      <c r="N20" s="60" t="n">
        <f aca="false">MIN(1,N18/N13)</f>
        <v>0.35083387362858</v>
      </c>
      <c r="O20" s="60" t="n">
        <f aca="false">MIN(1,O18/O13)</f>
        <v>0.349963494230746</v>
      </c>
      <c r="P20" s="60" t="n">
        <f aca="false">MIN(1,P18/P13)</f>
        <v>0.349080901919314</v>
      </c>
      <c r="Q20" s="60" t="n">
        <f aca="false">MIN(1,Q18/Q13)</f>
        <v>0.348214871447212</v>
      </c>
      <c r="R20" s="60" t="n">
        <f aca="false">MIN(1,R18/R13)</f>
        <v>0.347336689084388</v>
      </c>
      <c r="S20" s="60" t="n">
        <f aca="false">MIN(1,S18/S13)</f>
        <v>0.346470230959666</v>
      </c>
      <c r="T20" s="60" t="n">
        <f aca="false">MIN(1,T18/T13)</f>
        <v>0.345596448502278</v>
      </c>
      <c r="U20" s="60" t="n">
        <f aca="false">MIN(1,U18/U13)</f>
        <v>0.344739062567363</v>
      </c>
      <c r="V20" s="60" t="n">
        <f aca="false">MIN(1,V18/V13)</f>
        <v>0.343869646039387</v>
      </c>
      <c r="W20" s="60" t="n">
        <f aca="false">MIN(1,W18/W13)</f>
        <v>0.343016544107246</v>
      </c>
      <c r="X20" s="60" t="n">
        <f aca="false">MIN(1,X18/X13)</f>
        <v>0.34215147169394</v>
      </c>
      <c r="Y20" s="60" t="n">
        <f aca="false">MIN(1,Y18/Y13)</f>
        <v>0.341302632359183</v>
      </c>
      <c r="Z20" s="60" t="n">
        <f aca="false">MIN(1,Z18/Z13)</f>
        <v>0.340441882354804</v>
      </c>
      <c r="AA20" s="60" t="n">
        <f aca="false">MIN(1,AA18/AA13)</f>
        <v>0.339592623856545</v>
      </c>
      <c r="AB20" s="60" t="n">
        <f aca="false">MIN(1,AB18/AB13)</f>
        <v>0.338736186417281</v>
      </c>
      <c r="AC20" s="60" t="n">
        <f aca="false">MIN(1,AC18/AC13)</f>
        <v>0.337895820021331</v>
      </c>
      <c r="AD20" s="60" t="n">
        <f aca="false">MIN(1,AD18/AD13)</f>
        <v>0.337043661845601</v>
      </c>
      <c r="AE20" s="60" t="n">
        <f aca="false">MIN(1,AE18/AE13)</f>
        <v>0.33620749441283</v>
      </c>
      <c r="AF20" s="60" t="n">
        <f aca="false">MIN(1,AF18/AF13)</f>
        <v>0.335359594118924</v>
      </c>
    </row>
    <row r="22" customFormat="false" ht="15" hidden="false" customHeight="true" outlineLevel="0" collapsed="false">
      <c r="A22" s="9" t="s">
        <v>172</v>
      </c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  <c r="AF22" s="9"/>
    </row>
    <row r="23" customFormat="false" ht="15" hidden="false" customHeight="true" outlineLevel="0" collapsed="false">
      <c r="B23" s="47" t="s">
        <v>173</v>
      </c>
      <c r="C23" s="56" t="n">
        <f aca="false">Assumptions!$F$9*1000*Assumptions!$F$16*Assumptions!$F$14*C6*'Timing &amp; Calendar'!C$13</f>
        <v>3774000</v>
      </c>
      <c r="D23" s="56" t="n">
        <f aca="false">Assumptions!$F$9*1000*Assumptions!$F$16*Assumptions!$F$14*D6*'Timing &amp; Calendar'!D$13</f>
        <v>3815600.71984975</v>
      </c>
      <c r="E23" s="56" t="n">
        <f aca="false">Assumptions!$F$9*1000*Assumptions!$F$16*Assumptions!$F$14*E6*'Timing &amp; Calendar'!E$13</f>
        <v>3856970.55026829</v>
      </c>
      <c r="F23" s="56" t="n">
        <f aca="false">Assumptions!$F$9*1000*Assumptions!$F$16*Assumptions!$F$14*F6*'Timing &amp; Calendar'!F$13</f>
        <v>3899485.85268759</v>
      </c>
      <c r="G23" s="56" t="n">
        <f aca="false">Assumptions!$F$9*1000*Assumptions!$F$16*Assumptions!$F$14*G6*'Timing &amp; Calendar'!G$13</f>
        <v>3941765.18962292</v>
      </c>
      <c r="H23" s="56" t="n">
        <f aca="false">Assumptions!$F$9*1000*Assumptions!$F$16*Assumptions!$F$14*H6*'Timing &amp; Calendar'!H$13</f>
        <v>3985215.18150606</v>
      </c>
      <c r="I23" s="56" t="n">
        <f aca="false">Assumptions!$F$9*1000*Assumptions!$F$16*Assumptions!$F$14*I6*'Timing &amp; Calendar'!I$13</f>
        <v>4028424.02025657</v>
      </c>
      <c r="J23" s="56" t="n">
        <f aca="false">Assumptions!$F$9*1000*Assumptions!$F$16*Assumptions!$F$14*J6*'Timing &amp; Calendar'!J$13</f>
        <v>4072829.25054345</v>
      </c>
      <c r="K23" s="56" t="n">
        <f aca="false">Assumptions!$F$9*1000*Assumptions!$F$16*Assumptions!$F$14*K6*'Timing &amp; Calendar'!K$13</f>
        <v>4117233.32229014</v>
      </c>
      <c r="L23" s="56" t="n">
        <f aca="false">Assumptions!$F$9*1000*Assumptions!$F$16*Assumptions!$F$14*L6*'Timing &amp; Calendar'!L$13</f>
        <v>4162617.49558019</v>
      </c>
      <c r="M23" s="56" t="n">
        <f aca="false">Assumptions!$F$9*1000*Assumptions!$F$16*Assumptions!$F$14*M6*'Timing &amp; Calendar'!M$13</f>
        <v>4207749.78077805</v>
      </c>
      <c r="N23" s="56" t="n">
        <f aca="false">Assumptions!$F$9*1000*Assumptions!$F$16*Assumptions!$F$14*N6*'Timing &amp; Calendar'!N$13</f>
        <v>4254131.7150197</v>
      </c>
      <c r="O23" s="56" t="n">
        <f aca="false">Assumptions!$F$9*1000*Assumptions!$F$16*Assumptions!$F$14*O6*'Timing &amp; Calendar'!O$13</f>
        <v>4300256.2234655</v>
      </c>
      <c r="P23" s="56" t="n">
        <f aca="false">Assumptions!$F$9*1000*Assumptions!$F$16*Assumptions!$F$14*P6*'Timing &amp; Calendar'!P$13</f>
        <v>4347657.85421127</v>
      </c>
      <c r="Q23" s="56" t="n">
        <f aca="false">Assumptions!$F$9*1000*Assumptions!$F$16*Assumptions!$F$14*Q6*'Timing &amp; Calendar'!Q$13</f>
        <v>4394796.39971234</v>
      </c>
      <c r="R23" s="56" t="n">
        <f aca="false">Assumptions!$F$9*1000*Assumptions!$F$16*Assumptions!$F$14*R6*'Timing &amp; Calendar'!R$13</f>
        <v>4443240.14476298</v>
      </c>
      <c r="S23" s="56" t="n">
        <f aca="false">Assumptions!$F$9*1000*Assumptions!$F$16*Assumptions!$F$14*S6*'Timing &amp; Calendar'!S$13</f>
        <v>4491682.62590788</v>
      </c>
      <c r="T23" s="56" t="n">
        <f aca="false">Assumptions!$F$9*1000*Assumptions!$F$16*Assumptions!$F$14*T6*'Timing &amp; Calendar'!T$13</f>
        <v>4541194.34572091</v>
      </c>
      <c r="U23" s="56" t="n">
        <f aca="false">Assumptions!$F$9*1000*Assumptions!$F$16*Assumptions!$F$14*U6*'Timing &amp; Calendar'!U$13</f>
        <v>4590431.2690192</v>
      </c>
      <c r="V23" s="56" t="n">
        <f aca="false">Assumptions!$F$9*1000*Assumptions!$F$16*Assumptions!$F$14*V6*'Timing &amp; Calendar'!V$13</f>
        <v>4641031.49297573</v>
      </c>
      <c r="W23" s="56" t="n">
        <f aca="false">Assumptions!$F$9*1000*Assumptions!$F$16*Assumptions!$F$14*W6*'Timing &amp; Calendar'!W$13</f>
        <v>4691350.8790773</v>
      </c>
      <c r="X23" s="56" t="n">
        <f aca="false">Assumptions!$F$9*1000*Assumptions!$F$16*Assumptions!$F$14*X6*'Timing &amp; Calendar'!X$13</f>
        <v>4743063.53769875</v>
      </c>
      <c r="Y23" s="56" t="n">
        <f aca="false">Assumptions!$F$9*1000*Assumptions!$F$16*Assumptions!$F$14*Y6*'Timing &amp; Calendar'!Y$13</f>
        <v>4794489.18430748</v>
      </c>
      <c r="Z23" s="56" t="n">
        <f aca="false">Assumptions!$F$9*1000*Assumptions!$F$16*Assumptions!$F$14*Z6*'Timing &amp; Calendar'!Z$13</f>
        <v>4847338.73422242</v>
      </c>
      <c r="AA23" s="56" t="n">
        <f aca="false">Assumptions!$F$9*1000*Assumptions!$F$16*Assumptions!$F$14*AA6*'Timing &amp; Calendar'!AA$13</f>
        <v>4900186.90528342</v>
      </c>
      <c r="AB23" s="56" t="n">
        <f aca="false">Assumptions!$F$9*1000*Assumptions!$F$16*Assumptions!$F$14*AB6*'Timing &amp; Calendar'!AB$13</f>
        <v>4954201.55887592</v>
      </c>
      <c r="AC23" s="56" t="n">
        <f aca="false">Assumptions!$F$9*1000*Assumptions!$F$16*Assumptions!$F$14*AC6*'Timing &amp; Calendar'!AC$13</f>
        <v>5007916.42408279</v>
      </c>
      <c r="AD23" s="56" t="n">
        <f aca="false">Assumptions!$F$9*1000*Assumptions!$F$16*Assumptions!$F$14*AD6*'Timing &amp; Calendar'!AD$13</f>
        <v>5063118.57781602</v>
      </c>
      <c r="AE23" s="56" t="n">
        <f aca="false">Assumptions!$F$9*1000*Assumptions!$F$16*Assumptions!$F$14*AE6*'Timing &amp; Calendar'!AE$13</f>
        <v>5118014.35238268</v>
      </c>
      <c r="AF23" s="56" t="n">
        <f aca="false">Assumptions!$F$9*1000*Assumptions!$F$16*Assumptions!$F$14*AF6*'Timing &amp; Calendar'!AF$13</f>
        <v>5174430.11318301</v>
      </c>
    </row>
    <row r="24" customFormat="false" ht="15" hidden="false" customHeight="true" outlineLevel="0" collapsed="false">
      <c r="B24" s="47" t="s">
        <v>174</v>
      </c>
      <c r="C24" s="56" t="n">
        <f aca="false">Assumptions!$F$9*1000*(1-Assumptions!$F$16)*C10*Assumptions!$F$14*C6*'Timing &amp; Calendar'!C$13</f>
        <v>366300</v>
      </c>
      <c r="D24" s="56" t="n">
        <f aca="false">Assumptions!$F$9*1000*(1-Assumptions!$F$16)*D10*Assumptions!$F$14*D6*'Timing &amp; Calendar'!D$13</f>
        <v>370337.716926593</v>
      </c>
      <c r="E24" s="56" t="n">
        <f aca="false">Assumptions!$F$9*1000*(1-Assumptions!$F$16)*E10*Assumptions!$F$14*E6*'Timing &amp; Calendar'!E$13</f>
        <v>510481.396359039</v>
      </c>
      <c r="F24" s="56" t="n">
        <f aca="false">Assumptions!$F$9*1000*(1-Assumptions!$F$16)*F10*Assumptions!$F$14*F6*'Timing &amp; Calendar'!F$13</f>
        <v>516108.42167924</v>
      </c>
      <c r="G24" s="56" t="n">
        <f aca="false">Assumptions!$F$9*1000*(1-Assumptions!$F$16)*G10*Assumptions!$F$14*G6*'Timing &amp; Calendar'!G$13</f>
        <v>626045.059528346</v>
      </c>
      <c r="H24" s="56" t="n">
        <f aca="false">Assumptions!$F$9*1000*(1-Assumptions!$F$16)*H10*Assumptions!$F$14*H6*'Timing &amp; Calendar'!H$13</f>
        <v>632945.940592139</v>
      </c>
      <c r="I24" s="56" t="n">
        <f aca="false">Assumptions!$F$9*1000*(1-Assumptions!$F$16)*I10*Assumptions!$F$14*I6*'Timing &amp; Calendar'!I$13</f>
        <v>639808.520864279</v>
      </c>
      <c r="J24" s="56" t="n">
        <f aca="false">Assumptions!$F$9*1000*(1-Assumptions!$F$16)*J10*Assumptions!$F$14*J6*'Timing &amp; Calendar'!J$13</f>
        <v>646861.116262783</v>
      </c>
      <c r="K24" s="56" t="n">
        <f aca="false">Assumptions!$F$9*1000*(1-Assumptions!$F$16)*K10*Assumptions!$F$14*K6*'Timing &amp; Calendar'!K$13</f>
        <v>653913.527657847</v>
      </c>
      <c r="L24" s="56" t="n">
        <f aca="false">Assumptions!$F$9*1000*(1-Assumptions!$F$16)*L10*Assumptions!$F$14*L6*'Timing &amp; Calendar'!L$13</f>
        <v>661121.602239207</v>
      </c>
      <c r="M24" s="56" t="n">
        <f aca="false">Assumptions!$F$9*1000*(1-Assumptions!$F$16)*M10*Assumptions!$F$14*M6*'Timing &amp; Calendar'!M$13</f>
        <v>668289.671064749</v>
      </c>
      <c r="N24" s="56" t="n">
        <f aca="false">Assumptions!$F$9*1000*(1-Assumptions!$F$16)*N10*Assumptions!$F$14*N6*'Timing &amp; Calendar'!N$13</f>
        <v>675656.213561952</v>
      </c>
      <c r="O24" s="56" t="n">
        <f aca="false">Assumptions!$F$9*1000*(1-Assumptions!$F$16)*O10*Assumptions!$F$14*O6*'Timing &amp; Calendar'!O$13</f>
        <v>682981.870785698</v>
      </c>
      <c r="P24" s="56" t="n">
        <f aca="false">Assumptions!$F$9*1000*(1-Assumptions!$F$16)*P10*Assumptions!$F$14*P6*'Timing &amp; Calendar'!P$13</f>
        <v>690510.365080613</v>
      </c>
      <c r="Q24" s="56" t="n">
        <f aca="false">Assumptions!$F$9*1000*(1-Assumptions!$F$16)*Q10*Assumptions!$F$14*Q6*'Timing &amp; Calendar'!Q$13</f>
        <v>697997.075248431</v>
      </c>
      <c r="R24" s="56" t="n">
        <f aca="false">Assumptions!$F$9*1000*(1-Assumptions!$F$16)*R10*Assumptions!$F$14*R6*'Timing &amp; Calendar'!R$13</f>
        <v>705691.081815297</v>
      </c>
      <c r="S24" s="56" t="n">
        <f aca="false">Assumptions!$F$9*1000*(1-Assumptions!$F$16)*S10*Assumptions!$F$14*S6*'Timing &amp; Calendar'!S$13</f>
        <v>713384.887644193</v>
      </c>
      <c r="T24" s="56" t="n">
        <f aca="false">Assumptions!$F$9*1000*(1-Assumptions!$F$16)*T10*Assumptions!$F$14*T6*'Timing &amp; Calendar'!T$13</f>
        <v>721248.513732144</v>
      </c>
      <c r="U24" s="56" t="n">
        <f aca="false">Assumptions!$F$9*1000*(1-Assumptions!$F$16)*U10*Assumptions!$F$14*U6*'Timing &amp; Calendar'!U$13</f>
        <v>729068.495667755</v>
      </c>
      <c r="V24" s="56" t="n">
        <f aca="false">Assumptions!$F$9*1000*(1-Assumptions!$F$16)*V10*Assumptions!$F$14*V6*'Timing &amp; Calendar'!V$13</f>
        <v>737105.001825558</v>
      </c>
      <c r="W24" s="56" t="n">
        <f aca="false">Assumptions!$F$9*1000*(1-Assumptions!$F$16)*W10*Assumptions!$F$14*W6*'Timing &amp; Calendar'!W$13</f>
        <v>745096.904324042</v>
      </c>
      <c r="X24" s="56" t="n">
        <f aca="false">Assumptions!$F$9*1000*(1-Assumptions!$F$16)*X10*Assumptions!$F$14*X6*'Timing &amp; Calendar'!X$13</f>
        <v>753310.091281567</v>
      </c>
      <c r="Y24" s="56" t="n">
        <f aca="false">Assumptions!$F$9*1000*(1-Assumptions!$F$16)*Y10*Assumptions!$F$14*Y6*'Timing &amp; Calendar'!Y$13</f>
        <v>761477.693978247</v>
      </c>
      <c r="Z24" s="56" t="n">
        <f aca="false">Assumptions!$F$9*1000*(1-Assumptions!$F$16)*Z10*Assumptions!$F$14*Z6*'Timing &amp; Calendar'!Z$13</f>
        <v>769871.446023562</v>
      </c>
      <c r="AA24" s="56" t="n">
        <f aca="false">Assumptions!$F$9*1000*(1-Assumptions!$F$16)*AA10*Assumptions!$F$14*AA6*'Timing &amp; Calendar'!AA$13</f>
        <v>778264.979074425</v>
      </c>
      <c r="AB24" s="56" t="n">
        <f aca="false">Assumptions!$F$9*1000*(1-Assumptions!$F$16)*AB10*Assumptions!$F$14*AB6*'Timing &amp; Calendar'!AB$13</f>
        <v>786843.77699794</v>
      </c>
      <c r="AC24" s="56" t="n">
        <f aca="false">Assumptions!$F$9*1000*(1-Assumptions!$F$16)*AC10*Assumptions!$F$14*AC6*'Timing &amp; Calendar'!AC$13</f>
        <v>795374.961471973</v>
      </c>
      <c r="AD24" s="56" t="n">
        <f aca="false">Assumptions!$F$9*1000*(1-Assumptions!$F$16)*AD10*Assumptions!$F$14*AD6*'Timing &amp; Calendar'!AD$13</f>
        <v>804142.362359016</v>
      </c>
      <c r="AE24" s="56" t="n">
        <f aca="false">Assumptions!$F$9*1000*(1-Assumptions!$F$16)*AE10*Assumptions!$F$14*AE6*'Timing &amp; Calendar'!AE$13</f>
        <v>812861.103025485</v>
      </c>
      <c r="AF24" s="56" t="n">
        <f aca="false">Assumptions!$F$9*1000*(1-Assumptions!$F$16)*AF10*Assumptions!$F$14*AF6*'Timing &amp; Calendar'!AF$13</f>
        <v>821821.253270243</v>
      </c>
    </row>
    <row r="25" customFormat="false" ht="15" hidden="false" customHeight="true" outlineLevel="0" collapsed="false">
      <c r="B25" s="47" t="s">
        <v>175</v>
      </c>
      <c r="C25" s="56" t="n">
        <f aca="false">C13*1000*Assumptions!$F$15*C6</f>
        <v>18682537.5</v>
      </c>
      <c r="D25" s="56" t="n">
        <f aca="false">D13*1000*Assumptions!$F$15*D6</f>
        <v>18888474.7041918</v>
      </c>
      <c r="E25" s="56" t="n">
        <f aca="false">E13*1000*Assumptions!$F$15*E6</f>
        <v>26036275.813623</v>
      </c>
      <c r="F25" s="56" t="n">
        <f aca="false">F13*1000*Assumptions!$F$15*F6</f>
        <v>26323273.1151739</v>
      </c>
      <c r="G25" s="56" t="n">
        <f aca="false">G13*1000*Assumptions!$F$15*G6</f>
        <v>31930413.0530386</v>
      </c>
      <c r="H25" s="56" t="n">
        <f aca="false">H13*1000*Assumptions!$F$15*H6</f>
        <v>32282381.3010795</v>
      </c>
      <c r="I25" s="56" t="n">
        <f aca="false">I13*1000*Assumptions!$F$15*I6</f>
        <v>32632396.0793514</v>
      </c>
      <c r="J25" s="56" t="n">
        <f aca="false">J13*1000*Assumptions!$F$15*J6</f>
        <v>32992102.2710109</v>
      </c>
      <c r="K25" s="56" t="n">
        <f aca="false">K13*1000*Assumptions!$F$15*K6</f>
        <v>33351799.0778733</v>
      </c>
      <c r="L25" s="56" t="n">
        <f aca="false">L13*1000*Assumptions!$F$15*L6</f>
        <v>33719435.233126</v>
      </c>
      <c r="M25" s="56" t="n">
        <f aca="false">M13*1000*Assumptions!$F$15*M6</f>
        <v>34085030.9596774</v>
      </c>
      <c r="N25" s="56" t="n">
        <f aca="false">N13*1000*Assumptions!$F$15*N6</f>
        <v>34460749.5140027</v>
      </c>
      <c r="O25" s="56" t="n">
        <f aca="false">O13*1000*Assumptions!$F$15*O6</f>
        <v>34834382.7812557</v>
      </c>
      <c r="P25" s="56" t="n">
        <f aca="false">P13*1000*Assumptions!$F$15*P6</f>
        <v>35218361.4243987</v>
      </c>
      <c r="Q25" s="56" t="n">
        <f aca="false">Q13*1000*Assumptions!$F$15*Q6</f>
        <v>35600208.9358972</v>
      </c>
      <c r="R25" s="56" t="n">
        <f aca="false">R13*1000*Assumptions!$F$15*R6</f>
        <v>35992629.2640728</v>
      </c>
      <c r="S25" s="56" t="n">
        <f aca="false">S13*1000*Assumptions!$F$15*S6</f>
        <v>36385039.3539337</v>
      </c>
      <c r="T25" s="56" t="n">
        <f aca="false">T13*1000*Assumptions!$F$15*T6</f>
        <v>36786110.8507236</v>
      </c>
      <c r="U25" s="56" t="n">
        <f aca="false">U13*1000*Assumptions!$F$15*U6</f>
        <v>37184956.3482976</v>
      </c>
      <c r="V25" s="56" t="n">
        <f aca="false">V13*1000*Assumptions!$F$15*V6</f>
        <v>37594845.3127042</v>
      </c>
      <c r="W25" s="56" t="n">
        <f aca="false">W13*1000*Assumptions!$F$15*W6</f>
        <v>38002459.3397975</v>
      </c>
      <c r="X25" s="56" t="n">
        <f aca="false">X13*1000*Assumptions!$F$15*X6</f>
        <v>38421359.6218845</v>
      </c>
      <c r="Y25" s="56" t="n">
        <f aca="false">Y13*1000*Assumptions!$F$15*Y6</f>
        <v>38837934.9526675</v>
      </c>
      <c r="Z25" s="56" t="n">
        <f aca="false">Z13*1000*Assumptions!$F$15*Z6</f>
        <v>39266044.664249</v>
      </c>
      <c r="AA25" s="56" t="n">
        <f aca="false">AA13*1000*Assumptions!$F$15*AA6</f>
        <v>39694143.2063736</v>
      </c>
      <c r="AB25" s="56" t="n">
        <f aca="false">AB13*1000*Assumptions!$F$15*AB6</f>
        <v>40131690.8828983</v>
      </c>
      <c r="AC25" s="56" t="n">
        <f aca="false">AC13*1000*Assumptions!$F$15*AC6</f>
        <v>40566810.1126432</v>
      </c>
      <c r="AD25" s="56" t="n">
        <f aca="false">AD13*1000*Assumptions!$F$15*AD6</f>
        <v>41013977.1774799</v>
      </c>
      <c r="AE25" s="56" t="n">
        <f aca="false">AE13*1000*Assumptions!$F$15*AE6</f>
        <v>41458662.4066748</v>
      </c>
      <c r="AF25" s="56" t="n">
        <f aca="false">AF13*1000*Assumptions!$F$15*AF6</f>
        <v>41915660.3399353</v>
      </c>
    </row>
    <row r="26" customFormat="false" ht="15" hidden="false" customHeight="true" outlineLevel="0" collapsed="false">
      <c r="B26" s="45" t="s">
        <v>176</v>
      </c>
      <c r="C26" s="57" t="n">
        <f aca="false">C23+C24+C25</f>
        <v>22822837.5</v>
      </c>
      <c r="D26" s="57" t="n">
        <f aca="false">D23+D24+D25</f>
        <v>23074413.1409681</v>
      </c>
      <c r="E26" s="57" t="n">
        <f aca="false">E23+E24+E25</f>
        <v>30403727.7602503</v>
      </c>
      <c r="F26" s="57" t="n">
        <f aca="false">F23+F24+F25</f>
        <v>30738867.3895408</v>
      </c>
      <c r="G26" s="57" t="n">
        <f aca="false">G23+G24+G25</f>
        <v>36498223.3021899</v>
      </c>
      <c r="H26" s="57" t="n">
        <f aca="false">H23+H24+H25</f>
        <v>36900542.4231777</v>
      </c>
      <c r="I26" s="57" t="n">
        <f aca="false">I23+I24+I25</f>
        <v>37300628.6204723</v>
      </c>
      <c r="J26" s="57" t="n">
        <f aca="false">J23+J24+J25</f>
        <v>37711792.6378172</v>
      </c>
      <c r="K26" s="57" t="n">
        <f aca="false">K23+K24+K25</f>
        <v>38122945.9278213</v>
      </c>
      <c r="L26" s="57" t="n">
        <f aca="false">L23+L24+L25</f>
        <v>38543174.3309454</v>
      </c>
      <c r="M26" s="57" t="n">
        <f aca="false">M23+M24+M25</f>
        <v>38961070.4115202</v>
      </c>
      <c r="N26" s="57" t="n">
        <f aca="false">N23+N24+N25</f>
        <v>39390537.4425843</v>
      </c>
      <c r="O26" s="57" t="n">
        <f aca="false">O23+O24+O25</f>
        <v>39817620.8755069</v>
      </c>
      <c r="P26" s="57" t="n">
        <f aca="false">P23+P24+P25</f>
        <v>40256529.6436906</v>
      </c>
      <c r="Q26" s="57" t="n">
        <f aca="false">Q23+Q24+Q25</f>
        <v>40693002.4108579</v>
      </c>
      <c r="R26" s="57" t="n">
        <f aca="false">R23+R24+R25</f>
        <v>41141560.490651</v>
      </c>
      <c r="S26" s="57" t="n">
        <f aca="false">S23+S24+S25</f>
        <v>41590106.8674858</v>
      </c>
      <c r="T26" s="57" t="n">
        <f aca="false">T23+T24+T25</f>
        <v>42048553.7101766</v>
      </c>
      <c r="U26" s="57" t="n">
        <f aca="false">U23+U24+U25</f>
        <v>42504456.1129846</v>
      </c>
      <c r="V26" s="57" t="n">
        <f aca="false">V23+V24+V25</f>
        <v>42972981.8075055</v>
      </c>
      <c r="W26" s="57" t="n">
        <f aca="false">W23+W24+W25</f>
        <v>43438907.1231989</v>
      </c>
      <c r="X26" s="57" t="n">
        <f aca="false">X23+X24+X25</f>
        <v>43917733.2508648</v>
      </c>
      <c r="Y26" s="57" t="n">
        <f aca="false">Y23+Y24+Y25</f>
        <v>44393901.8309532</v>
      </c>
      <c r="Z26" s="57" t="n">
        <f aca="false">Z23+Z24+Z25</f>
        <v>44883254.844495</v>
      </c>
      <c r="AA26" s="57" t="n">
        <f aca="false">AA23+AA24+AA25</f>
        <v>45372595.0907315</v>
      </c>
      <c r="AB26" s="57" t="n">
        <f aca="false">AB23+AB24+AB25</f>
        <v>45872736.2187722</v>
      </c>
      <c r="AC26" s="57" t="n">
        <f aca="false">AC23+AC24+AC25</f>
        <v>46370101.4981979</v>
      </c>
      <c r="AD26" s="57" t="n">
        <f aca="false">AD23+AD24+AD25</f>
        <v>46881238.117655</v>
      </c>
      <c r="AE26" s="57" t="n">
        <f aca="false">AE23+AE24+AE25</f>
        <v>47389537.862083</v>
      </c>
      <c r="AF26" s="57" t="n">
        <f aca="false">AF23+AF24+AF25</f>
        <v>47911911.7063886</v>
      </c>
    </row>
    <row r="28" customFormat="false" ht="15" hidden="false" customHeight="true" outlineLevel="0" collapsed="false">
      <c r="A28" s="9" t="s">
        <v>177</v>
      </c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</row>
    <row r="29" customFormat="false" ht="15" hidden="false" customHeight="true" outlineLevel="0" collapsed="false">
      <c r="B29" s="47" t="s">
        <v>178</v>
      </c>
      <c r="C29" s="56" t="n">
        <f aca="false">Assumptions!$F$34*1000*Assumptions!$F$9/2*C6</f>
        <v>3600000</v>
      </c>
      <c r="D29" s="56" t="n">
        <f aca="false">Assumptions!$F$34*1000*Assumptions!$F$9/2*D6</f>
        <v>3639682.72163728</v>
      </c>
      <c r="E29" s="56" t="n">
        <f aca="false">Assumptions!$F$34*1000*Assumptions!$F$9/2*E6</f>
        <v>3679145.19898406</v>
      </c>
      <c r="F29" s="56" t="n">
        <f aca="false">Assumptions!$F$34*1000*Assumptions!$F$9/2*F6</f>
        <v>3719700.33642695</v>
      </c>
      <c r="G29" s="56" t="n">
        <f aca="false">Assumptions!$F$34*1000*Assumptions!$F$9/2*G6</f>
        <v>3760030.38755763</v>
      </c>
      <c r="H29" s="56" t="n">
        <f aca="false">Assumptions!$F$34*1000*Assumptions!$F$9/2*H6</f>
        <v>3801477.12067351</v>
      </c>
      <c r="I29" s="56" t="n">
        <f aca="false">Assumptions!$F$34*1000*Assumptions!$F$9/2*I6</f>
        <v>3842693.81900468</v>
      </c>
      <c r="J29" s="56" t="n">
        <f aca="false">Assumptions!$F$34*1000*Assumptions!$F$9/2*J6</f>
        <v>3885051.74932603</v>
      </c>
      <c r="K29" s="56" t="n">
        <f aca="false">Assumptions!$F$34*1000*Assumptions!$F$9/2*K6</f>
        <v>3927408.5745216</v>
      </c>
      <c r="L29" s="56" t="n">
        <f aca="false">Assumptions!$F$34*1000*Assumptions!$F$9/2*L6</f>
        <v>3970700.31374899</v>
      </c>
      <c r="M29" s="56" t="n">
        <f aca="false">Assumptions!$F$34*1000*Assumptions!$F$9/2*M6</f>
        <v>4013751.77816666</v>
      </c>
      <c r="N29" s="56" t="n">
        <f aca="false">Assumptions!$F$34*1000*Assumptions!$F$9/2*N6</f>
        <v>4057995.27664836</v>
      </c>
      <c r="O29" s="56" t="n">
        <f aca="false">Assumptions!$F$34*1000*Assumptions!$F$9/2*O6</f>
        <v>4101993.21793212</v>
      </c>
      <c r="P29" s="56" t="n">
        <f aca="false">Assumptions!$F$34*1000*Assumptions!$F$9/2*P6</f>
        <v>4147209.39988356</v>
      </c>
      <c r="Q29" s="56" t="n">
        <f aca="false">Assumptions!$F$34*1000*Assumptions!$F$9/2*Q6</f>
        <v>4192174.6261167</v>
      </c>
      <c r="R29" s="56" t="n">
        <f aca="false">Assumptions!$F$34*1000*Assumptions!$F$9/2*R6</f>
        <v>4238384.87576755</v>
      </c>
      <c r="S29" s="56" t="n">
        <f aca="false">Assumptions!$F$34*1000*Assumptions!$F$9/2*S6</f>
        <v>4284593.91978494</v>
      </c>
      <c r="T29" s="56" t="n">
        <f aca="false">Assumptions!$F$34*1000*Assumptions!$F$9/2*T6</f>
        <v>4331822.90529816</v>
      </c>
      <c r="U29" s="56" t="n">
        <f aca="false">Assumptions!$F$34*1000*Assumptions!$F$9/2*U6</f>
        <v>4378789.7637703</v>
      </c>
      <c r="V29" s="56" t="n">
        <f aca="false">Assumptions!$F$34*1000*Assumptions!$F$9/2*V6</f>
        <v>4427057.06802137</v>
      </c>
      <c r="W29" s="56" t="n">
        <f aca="false">Assumptions!$F$34*1000*Assumptions!$F$9/2*W6</f>
        <v>4475056.48242668</v>
      </c>
      <c r="X29" s="56" t="n">
        <f aca="false">Assumptions!$F$34*1000*Assumptions!$F$9/2*X6</f>
        <v>4524384.93262202</v>
      </c>
      <c r="Y29" s="56" t="n">
        <f aca="false">Assumptions!$F$34*1000*Assumptions!$F$9/2*Y6</f>
        <v>4573439.60347295</v>
      </c>
      <c r="Z29" s="56" t="n">
        <f aca="false">Assumptions!$F$34*1000*Assumptions!$F$9/2*Z6</f>
        <v>4623852.52867004</v>
      </c>
      <c r="AA29" s="56" t="n">
        <f aca="false">Assumptions!$F$34*1000*Assumptions!$F$9/2*AA6</f>
        <v>4674264.13858514</v>
      </c>
      <c r="AB29" s="56" t="n">
        <f aca="false">Assumptions!$F$34*1000*Assumptions!$F$9/2*AB6</f>
        <v>4725788.45043808</v>
      </c>
      <c r="AC29" s="56" t="n">
        <f aca="false">Assumptions!$F$34*1000*Assumptions!$F$9/2*AC6</f>
        <v>4777026.79562747</v>
      </c>
      <c r="AD29" s="56" t="n">
        <f aca="false">Assumptions!$F$34*1000*Assumptions!$F$9/2*AD6</f>
        <v>4829683.85801211</v>
      </c>
      <c r="AE29" s="56" t="n">
        <f aca="false">Assumptions!$F$34*1000*Assumptions!$F$9/2*AE6</f>
        <v>4882048.66681973</v>
      </c>
      <c r="AF29" s="56" t="n">
        <f aca="false">Assumptions!$F$34*1000*Assumptions!$F$9/2*AF6</f>
        <v>4935863.38300446</v>
      </c>
    </row>
    <row r="30" customFormat="false" ht="15" hidden="false" customHeight="true" outlineLevel="0" collapsed="false">
      <c r="B30" s="47" t="s">
        <v>179</v>
      </c>
      <c r="C30" s="56" t="n">
        <f aca="false">Assumptions!$F$35*1000*Assumptions!$F$20/2*C6</f>
        <v>810000</v>
      </c>
      <c r="D30" s="56" t="n">
        <f aca="false">Assumptions!$F$35*1000*Assumptions!$F$20/2*D6</f>
        <v>818928.612368387</v>
      </c>
      <c r="E30" s="56" t="n">
        <f aca="false">Assumptions!$F$35*1000*Assumptions!$F$20/2*E6</f>
        <v>827807.669771414</v>
      </c>
      <c r="F30" s="56" t="n">
        <f aca="false">Assumptions!$F$35*1000*Assumptions!$F$20/2*F6</f>
        <v>836932.575696065</v>
      </c>
      <c r="G30" s="56" t="n">
        <f aca="false">Assumptions!$F$35*1000*Assumptions!$F$20/2*G6</f>
        <v>846006.837200467</v>
      </c>
      <c r="H30" s="56" t="n">
        <f aca="false">Assumptions!$F$35*1000*Assumptions!$F$20/2*H6</f>
        <v>855332.352151539</v>
      </c>
      <c r="I30" s="56" t="n">
        <f aca="false">Assumptions!$F$35*1000*Assumptions!$F$20/2*I6</f>
        <v>864606.109276053</v>
      </c>
      <c r="J30" s="56" t="n">
        <f aca="false">Assumptions!$F$35*1000*Assumptions!$F$20/2*J6</f>
        <v>874136.643598356</v>
      </c>
      <c r="K30" s="56" t="n">
        <f aca="false">Assumptions!$F$35*1000*Assumptions!$F$20/2*K6</f>
        <v>883666.92926736</v>
      </c>
      <c r="L30" s="56" t="n">
        <f aca="false">Assumptions!$F$35*1000*Assumptions!$F$20/2*L6</f>
        <v>893407.570593522</v>
      </c>
      <c r="M30" s="56" t="n">
        <f aca="false">Assumptions!$F$35*1000*Assumptions!$F$20/2*M6</f>
        <v>903094.150087499</v>
      </c>
      <c r="N30" s="56" t="n">
        <f aca="false">Assumptions!$F$35*1000*Assumptions!$F$20/2*N6</f>
        <v>913048.937245881</v>
      </c>
      <c r="O30" s="56" t="n">
        <f aca="false">Assumptions!$F$35*1000*Assumptions!$F$20/2*O6</f>
        <v>922948.474034726</v>
      </c>
      <c r="P30" s="56" t="n">
        <f aca="false">Assumptions!$F$35*1000*Assumptions!$F$20/2*P6</f>
        <v>933122.114973801</v>
      </c>
      <c r="Q30" s="56" t="n">
        <f aca="false">Assumptions!$F$35*1000*Assumptions!$F$20/2*Q6</f>
        <v>943239.290876258</v>
      </c>
      <c r="R30" s="56" t="n">
        <f aca="false">Assumptions!$F$35*1000*Assumptions!$F$20/2*R6</f>
        <v>953636.597047699</v>
      </c>
      <c r="S30" s="56" t="n">
        <f aca="false">Assumptions!$F$35*1000*Assumptions!$F$20/2*S6</f>
        <v>964033.631951612</v>
      </c>
      <c r="T30" s="56" t="n">
        <f aca="false">Assumptions!$F$35*1000*Assumptions!$F$20/2*T6</f>
        <v>974660.153692086</v>
      </c>
      <c r="U30" s="56" t="n">
        <f aca="false">Assumptions!$F$35*1000*Assumptions!$F$20/2*U6</f>
        <v>985227.696848317</v>
      </c>
      <c r="V30" s="56" t="n">
        <f aca="false">Assumptions!$F$35*1000*Assumptions!$F$20/2*V6</f>
        <v>996087.840304808</v>
      </c>
      <c r="W30" s="56" t="n">
        <f aca="false">Assumptions!$F$35*1000*Assumptions!$F$20/2*W6</f>
        <v>1006887.708546</v>
      </c>
      <c r="X30" s="56" t="n">
        <f aca="false">Assumptions!$F$35*1000*Assumptions!$F$20/2*X6</f>
        <v>1017986.60983995</v>
      </c>
      <c r="Y30" s="56" t="n">
        <f aca="false">Assumptions!$F$35*1000*Assumptions!$F$20/2*Y6</f>
        <v>1029023.91078141</v>
      </c>
      <c r="Z30" s="56" t="n">
        <f aca="false">Assumptions!$F$35*1000*Assumptions!$F$20/2*Z6</f>
        <v>1040366.81895076</v>
      </c>
      <c r="AA30" s="56" t="n">
        <f aca="false">Assumptions!$F$35*1000*Assumptions!$F$20/2*AA6</f>
        <v>1051709.43118166</v>
      </c>
      <c r="AB30" s="56" t="n">
        <f aca="false">Assumptions!$F$35*1000*Assumptions!$F$20/2*AB6</f>
        <v>1063302.40134857</v>
      </c>
      <c r="AC30" s="56" t="n">
        <f aca="false">Assumptions!$F$35*1000*Assumptions!$F$20/2*AC6</f>
        <v>1074831.02901618</v>
      </c>
      <c r="AD30" s="56" t="n">
        <f aca="false">Assumptions!$F$35*1000*Assumptions!$F$20/2*AD6</f>
        <v>1086678.86805272</v>
      </c>
      <c r="AE30" s="56" t="n">
        <f aca="false">Assumptions!$F$35*1000*Assumptions!$F$20/2*AE6</f>
        <v>1098460.95003444</v>
      </c>
      <c r="AF30" s="56" t="n">
        <f aca="false">Assumptions!$F$35*1000*Assumptions!$F$20/2*AF6</f>
        <v>1110569.261176</v>
      </c>
    </row>
    <row r="31" customFormat="false" ht="15" hidden="false" customHeight="true" outlineLevel="0" collapsed="false">
      <c r="B31" s="47" t="s">
        <v>180</v>
      </c>
      <c r="C31" s="56" t="n">
        <f aca="false">Assumptions!$F$36*1000/2*C6</f>
        <v>175000</v>
      </c>
      <c r="D31" s="56" t="n">
        <f aca="false">Assumptions!$F$36*1000/2*D6</f>
        <v>176929.021190701</v>
      </c>
      <c r="E31" s="56" t="n">
        <f aca="false">Assumptions!$F$36*1000/2*E6</f>
        <v>178847.336061725</v>
      </c>
      <c r="F31" s="56" t="n">
        <f aca="false">Assumptions!$F$36*1000/2*F6</f>
        <v>180818.766354088</v>
      </c>
      <c r="G31" s="56" t="n">
        <f aca="false">Assumptions!$F$36*1000/2*G6</f>
        <v>182779.254950718</v>
      </c>
      <c r="H31" s="56" t="n">
        <f aca="false">Assumptions!$F$36*1000/2*H6</f>
        <v>184794.026699407</v>
      </c>
      <c r="I31" s="56" t="n">
        <f aca="false">Assumptions!$F$36*1000/2*I6</f>
        <v>186797.616201616</v>
      </c>
      <c r="J31" s="56" t="n">
        <f aca="false">Assumptions!$F$36*1000/2*J6</f>
        <v>188856.682258904</v>
      </c>
      <c r="K31" s="56" t="n">
        <f aca="false">Assumptions!$F$36*1000/2*K6</f>
        <v>190915.6945948</v>
      </c>
      <c r="L31" s="56" t="n">
        <f aca="false">Assumptions!$F$36*1000/2*L6</f>
        <v>193020.154140576</v>
      </c>
      <c r="M31" s="56" t="n">
        <f aca="false">Assumptions!$F$36*1000/2*M6</f>
        <v>195112.933660879</v>
      </c>
      <c r="N31" s="56" t="n">
        <f aca="false">Assumptions!$F$36*1000/2*N6</f>
        <v>197263.659281518</v>
      </c>
      <c r="O31" s="56" t="n">
        <f aca="false">Assumptions!$F$36*1000/2*O6</f>
        <v>199402.448093922</v>
      </c>
      <c r="P31" s="56" t="n">
        <f aca="false">Assumptions!$F$36*1000/2*P6</f>
        <v>201600.456938784</v>
      </c>
      <c r="Q31" s="56" t="n">
        <f aca="false">Assumptions!$F$36*1000/2*Q6</f>
        <v>203786.26654734</v>
      </c>
      <c r="R31" s="56" t="n">
        <f aca="false">Assumptions!$F$36*1000/2*R6</f>
        <v>206032.598127589</v>
      </c>
      <c r="S31" s="56" t="n">
        <f aca="false">Assumptions!$F$36*1000/2*S6</f>
        <v>208278.871100657</v>
      </c>
      <c r="T31" s="56" t="n">
        <f aca="false">Assumptions!$F$36*1000/2*T6</f>
        <v>210574.724563105</v>
      </c>
      <c r="U31" s="56" t="n">
        <f aca="false">Assumptions!$F$36*1000/2*U6</f>
        <v>212857.835738834</v>
      </c>
      <c r="V31" s="56" t="n">
        <f aca="false">Assumptions!$F$36*1000/2*V6</f>
        <v>215204.163028817</v>
      </c>
      <c r="W31" s="56" t="n">
        <f aca="false">Assumptions!$F$36*1000/2*W6</f>
        <v>217537.467895741</v>
      </c>
      <c r="X31" s="56" t="n">
        <f aca="false">Assumptions!$F$36*1000/2*X6</f>
        <v>219935.378669126</v>
      </c>
      <c r="Y31" s="56" t="n">
        <f aca="false">Assumptions!$F$36*1000/2*Y6</f>
        <v>222319.98072438</v>
      </c>
      <c r="Z31" s="56" t="n">
        <f aca="false">Assumptions!$F$36*1000/2*Z6</f>
        <v>224770.609032571</v>
      </c>
      <c r="AA31" s="56" t="n">
        <f aca="false">Assumptions!$F$36*1000/2*AA6</f>
        <v>227221.173403444</v>
      </c>
      <c r="AB31" s="56" t="n">
        <f aca="false">Assumptions!$F$36*1000/2*AB6</f>
        <v>229725.827451851</v>
      </c>
      <c r="AC31" s="56" t="n">
        <f aca="false">Assumptions!$F$36*1000/2*AC6</f>
        <v>232216.580343002</v>
      </c>
      <c r="AD31" s="56" t="n">
        <f aca="false">Assumptions!$F$36*1000/2*AD6</f>
        <v>234776.298653366</v>
      </c>
      <c r="AE31" s="56" t="n">
        <f aca="false">Assumptions!$F$36*1000/2*AE6</f>
        <v>237321.810192626</v>
      </c>
      <c r="AF31" s="56" t="n">
        <f aca="false">Assumptions!$F$36*1000/2*AF6</f>
        <v>239937.803340495</v>
      </c>
    </row>
    <row r="32" customFormat="false" ht="15" hidden="false" customHeight="true" outlineLevel="0" collapsed="false">
      <c r="B32" s="47" t="s">
        <v>181</v>
      </c>
      <c r="C32" s="56" t="n">
        <f aca="false">C19*1000*Assumptions!$F$17*C6</f>
        <v>6916064.4</v>
      </c>
      <c r="D32" s="56" t="n">
        <f aca="false">D19*1000*Assumptions!$F$17*D6</f>
        <v>7017691.72402413</v>
      </c>
      <c r="E32" s="56" t="n">
        <f aca="false">E19*1000*Assumptions!$F$17*E6</f>
        <v>13390067.8889356</v>
      </c>
      <c r="F32" s="56" t="n">
        <f aca="false">F19*1000*Assumptions!$F$17*F6</f>
        <v>13563486.5822469</v>
      </c>
      <c r="G32" s="56" t="n">
        <f aca="false">G19*1000*Assumptions!$F$17*G6</f>
        <v>18542885.0626558</v>
      </c>
      <c r="H32" s="56" t="n">
        <f aca="false">H19*1000*Assumptions!$F$17*H6</f>
        <v>18773538.9508075</v>
      </c>
      <c r="I32" s="56" t="n">
        <f aca="false">I19*1000*Assumptions!$F$17*I6</f>
        <v>19003129.719012</v>
      </c>
      <c r="J32" s="56" t="n">
        <f aca="false">J19*1000*Assumptions!$F$17*J6</f>
        <v>19239300.0329277</v>
      </c>
      <c r="K32" s="56" t="n">
        <f aca="false">K19*1000*Assumptions!$F$17*K6</f>
        <v>19475686.722841</v>
      </c>
      <c r="L32" s="56" t="n">
        <f aca="false">L19*1000*Assumptions!$F$17*L6</f>
        <v>19717517.9060634</v>
      </c>
      <c r="M32" s="56" t="n">
        <f aca="false">M19*1000*Assumptions!$F$17*M6</f>
        <v>19958231.3325381</v>
      </c>
      <c r="N32" s="56" t="n">
        <f aca="false">N19*1000*Assumptions!$F$17*N6</f>
        <v>20205839.8602615</v>
      </c>
      <c r="O32" s="56" t="n">
        <f aca="false">O19*1000*Assumptions!$F$17*O6</f>
        <v>20452302.3543604</v>
      </c>
      <c r="P32" s="56" t="n">
        <f aca="false">P19*1000*Assumptions!$F$17*P6</f>
        <v>20705823.0167412</v>
      </c>
      <c r="Q32" s="56" t="n">
        <f aca="false">Q19*1000*Assumptions!$F$17*Q6</f>
        <v>20958168.6844553</v>
      </c>
      <c r="R32" s="56" t="n">
        <f aca="false">R19*1000*Assumptions!$F$17*R6</f>
        <v>21217739.3662368</v>
      </c>
      <c r="S32" s="56" t="n">
        <f aca="false">S19*1000*Assumptions!$F$17*S6</f>
        <v>21477541.2333546</v>
      </c>
      <c r="T32" s="56" t="n">
        <f aca="false">T19*1000*Assumptions!$F$17*T6</f>
        <v>21743320.1426473</v>
      </c>
      <c r="U32" s="56" t="n">
        <f aca="false">U19*1000*Assumptions!$F$17*U6</f>
        <v>22007863.9337084</v>
      </c>
      <c r="V32" s="56" t="n">
        <f aca="false">V19*1000*Assumptions!$F$17*V6</f>
        <v>22279978.5980431</v>
      </c>
      <c r="W32" s="56" t="n">
        <f aca="false">W19*1000*Assumptions!$F$17*W6</f>
        <v>22550827.0305017</v>
      </c>
      <c r="X32" s="56" t="n">
        <f aca="false">X19*1000*Assumptions!$F$17*X6</f>
        <v>22829425.0554093</v>
      </c>
      <c r="Y32" s="56" t="n">
        <f aca="false">Y19*1000*Assumptions!$F$17*Y6</f>
        <v>23106724.9839344</v>
      </c>
      <c r="Z32" s="56" t="n">
        <f aca="false">Z19*1000*Assumptions!$F$17*Z6</f>
        <v>23391957.3603703</v>
      </c>
      <c r="AA32" s="56" t="n">
        <f aca="false">AA19*1000*Assumptions!$F$17*AA6</f>
        <v>23677436.7409402</v>
      </c>
      <c r="AB32" s="56" t="n">
        <f aca="false">AB19*1000*Assumptions!$F$17*AB6</f>
        <v>23969476.7369338</v>
      </c>
      <c r="AC32" s="56" t="n">
        <f aca="false">AC19*1000*Assumptions!$F$17*AC6</f>
        <v>24260152.4913386</v>
      </c>
      <c r="AD32" s="56" t="n">
        <f aca="false">AD19*1000*Assumptions!$F$17*AD6</f>
        <v>24559139.7237563</v>
      </c>
      <c r="AE32" s="56" t="n">
        <f aca="false">AE19*1000*Assumptions!$F$17*AE6</f>
        <v>24856728.4878109</v>
      </c>
      <c r="AF32" s="56" t="n">
        <f aca="false">AF19*1000*Assumptions!$F$17*AF6</f>
        <v>25162824.5816459</v>
      </c>
    </row>
    <row r="33" customFormat="false" ht="15" hidden="false" customHeight="true" outlineLevel="0" collapsed="false">
      <c r="B33" s="45" t="s">
        <v>182</v>
      </c>
      <c r="C33" s="57" t="n">
        <f aca="false">C29+C30+C31+C32</f>
        <v>11501064.4</v>
      </c>
      <c r="D33" s="57" t="n">
        <f aca="false">D29+D30+D31+D32</f>
        <v>11653232.0792205</v>
      </c>
      <c r="E33" s="57" t="n">
        <f aca="false">E29+E30+E31+E32</f>
        <v>18075868.0937528</v>
      </c>
      <c r="F33" s="57" t="n">
        <f aca="false">F29+F30+F31+F32</f>
        <v>18300938.260724</v>
      </c>
      <c r="G33" s="57" t="n">
        <f aca="false">G29+G30+G31+G32</f>
        <v>23331701.5423646</v>
      </c>
      <c r="H33" s="57" t="n">
        <f aca="false">H29+H30+H31+H32</f>
        <v>23615142.450332</v>
      </c>
      <c r="I33" s="57" t="n">
        <f aca="false">I29+I30+I31+I32</f>
        <v>23897227.2634944</v>
      </c>
      <c r="J33" s="57" t="n">
        <f aca="false">J29+J30+J31+J32</f>
        <v>24187345.108111</v>
      </c>
      <c r="K33" s="57" t="n">
        <f aca="false">K29+K30+K31+K32</f>
        <v>24477677.9212248</v>
      </c>
      <c r="L33" s="57" t="n">
        <f aca="false">L29+L30+L31+L32</f>
        <v>24774645.9445465</v>
      </c>
      <c r="M33" s="57" t="n">
        <f aca="false">M29+M30+M31+M32</f>
        <v>25070190.1944532</v>
      </c>
      <c r="N33" s="57" t="n">
        <f aca="false">N29+N30+N31+N32</f>
        <v>25374147.7334372</v>
      </c>
      <c r="O33" s="57" t="n">
        <f aca="false">O29+O30+O31+O32</f>
        <v>25676646.4944211</v>
      </c>
      <c r="P33" s="57" t="n">
        <f aca="false">P29+P30+P31+P32</f>
        <v>25987754.9885374</v>
      </c>
      <c r="Q33" s="57" t="n">
        <f aca="false">Q29+Q30+Q31+Q32</f>
        <v>26297368.8679956</v>
      </c>
      <c r="R33" s="57" t="n">
        <f aca="false">R29+R30+R31+R32</f>
        <v>26615793.4371796</v>
      </c>
      <c r="S33" s="57" t="n">
        <f aca="false">S29+S30+S31+S32</f>
        <v>26934447.6561918</v>
      </c>
      <c r="T33" s="57" t="n">
        <f aca="false">T29+T30+T31+T32</f>
        <v>27260377.9262007</v>
      </c>
      <c r="U33" s="57" t="n">
        <f aca="false">U29+U30+U31+U32</f>
        <v>27584739.2300659</v>
      </c>
      <c r="V33" s="57" t="n">
        <f aca="false">V29+V30+V31+V32</f>
        <v>27918327.6693981</v>
      </c>
      <c r="W33" s="57" t="n">
        <f aca="false">W29+W30+W31+W32</f>
        <v>28250308.6893702</v>
      </c>
      <c r="X33" s="57" t="n">
        <f aca="false">X29+X30+X31+X32</f>
        <v>28591731.9765404</v>
      </c>
      <c r="Y33" s="57" t="n">
        <f aca="false">Y29+Y30+Y31+Y32</f>
        <v>28931508.4789131</v>
      </c>
      <c r="Z33" s="57" t="n">
        <f aca="false">Z29+Z30+Z31+Z32</f>
        <v>29280947.3170237</v>
      </c>
      <c r="AA33" s="57" t="n">
        <f aca="false">AA29+AA30+AA31+AA32</f>
        <v>29630631.4841104</v>
      </c>
      <c r="AB33" s="57" t="n">
        <f aca="false">AB29+AB30+AB31+AB32</f>
        <v>29988293.4161723</v>
      </c>
      <c r="AC33" s="57" t="n">
        <f aca="false">AC29+AC30+AC31+AC32</f>
        <v>30344226.8963252</v>
      </c>
      <c r="AD33" s="57" t="n">
        <f aca="false">AD29+AD30+AD31+AD32</f>
        <v>30710278.7484745</v>
      </c>
      <c r="AE33" s="57" t="n">
        <f aca="false">AE29+AE30+AE31+AE32</f>
        <v>31074559.9148577</v>
      </c>
      <c r="AF33" s="57" t="n">
        <f aca="false">AF29+AF30+AF31+AF32</f>
        <v>31449195.0291668</v>
      </c>
    </row>
    <row r="35" customFormat="false" ht="15" hidden="false" customHeight="true" outlineLevel="0" collapsed="false">
      <c r="A35" s="9" t="s">
        <v>183</v>
      </c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  <c r="AF35" s="9"/>
    </row>
    <row r="36" customFormat="false" ht="15" hidden="false" customHeight="true" outlineLevel="0" collapsed="false">
      <c r="B36" s="53" t="s">
        <v>184</v>
      </c>
      <c r="C36" s="63" t="n">
        <f aca="false">C26-C33</f>
        <v>11321773.1</v>
      </c>
      <c r="D36" s="63" t="n">
        <f aca="false">D26-D33</f>
        <v>11421181.0617476</v>
      </c>
      <c r="E36" s="63" t="n">
        <f aca="false">E26-E33</f>
        <v>12327859.6664975</v>
      </c>
      <c r="F36" s="63" t="n">
        <f aca="false">F26-F33</f>
        <v>12437929.1288168</v>
      </c>
      <c r="G36" s="63" t="n">
        <f aca="false">G26-G33</f>
        <v>13166521.7598253</v>
      </c>
      <c r="H36" s="63" t="n">
        <f aca="false">H26-H33</f>
        <v>13285399.9728457</v>
      </c>
      <c r="I36" s="63" t="n">
        <f aca="false">I26-I33</f>
        <v>13403401.3569779</v>
      </c>
      <c r="J36" s="63" t="n">
        <f aca="false">J26-J33</f>
        <v>13524447.5297062</v>
      </c>
      <c r="K36" s="63" t="n">
        <f aca="false">K26-K33</f>
        <v>13645268.0065965</v>
      </c>
      <c r="L36" s="63" t="n">
        <f aca="false">L26-L33</f>
        <v>13768528.3863989</v>
      </c>
      <c r="M36" s="63" t="n">
        <f aca="false">M26-M33</f>
        <v>13890880.2170671</v>
      </c>
      <c r="N36" s="63" t="n">
        <f aca="false">N26-N33</f>
        <v>14016389.7091471</v>
      </c>
      <c r="O36" s="63" t="n">
        <f aca="false">O26-O33</f>
        <v>14140974.3810857</v>
      </c>
      <c r="P36" s="63" t="n">
        <f aca="false">P26-P33</f>
        <v>14268774.6551532</v>
      </c>
      <c r="Q36" s="63" t="n">
        <f aca="false">Q26-Q33</f>
        <v>14395633.5428623</v>
      </c>
      <c r="R36" s="63" t="n">
        <f aca="false">R26-R33</f>
        <v>14525767.0534714</v>
      </c>
      <c r="S36" s="63" t="n">
        <f aca="false">S26-S33</f>
        <v>14655659.2112939</v>
      </c>
      <c r="T36" s="63" t="n">
        <f aca="false">T26-T33</f>
        <v>14788175.7839759</v>
      </c>
      <c r="U36" s="63" t="n">
        <f aca="false">U26-U33</f>
        <v>14919716.8829187</v>
      </c>
      <c r="V36" s="63" t="n">
        <f aca="false">V26-V33</f>
        <v>15054654.1381074</v>
      </c>
      <c r="W36" s="63" t="n">
        <f aca="false">W26-W33</f>
        <v>15188598.4338287</v>
      </c>
      <c r="X36" s="63" t="n">
        <f aca="false">X26-X33</f>
        <v>15326001.2743244</v>
      </c>
      <c r="Y36" s="63" t="n">
        <f aca="false">Y26-Y33</f>
        <v>15462393.3520401</v>
      </c>
      <c r="Z36" s="63" t="n">
        <f aca="false">Z26-Z33</f>
        <v>15602307.5274713</v>
      </c>
      <c r="AA36" s="63" t="n">
        <f aca="false">AA26-AA33</f>
        <v>15741963.6066211</v>
      </c>
      <c r="AB36" s="63" t="n">
        <f aca="false">AB26-AB33</f>
        <v>15884442.8025998</v>
      </c>
      <c r="AC36" s="63" t="n">
        <f aca="false">AC26-AC33</f>
        <v>16025874.6018727</v>
      </c>
      <c r="AD36" s="63" t="n">
        <f aca="false">AD26-AD33</f>
        <v>16170959.3691805</v>
      </c>
      <c r="AE36" s="63" t="n">
        <f aca="false">AE26-AE33</f>
        <v>16314977.9472252</v>
      </c>
      <c r="AF36" s="63" t="n">
        <f aca="false">AF26-AF33</f>
        <v>16462716.6772217</v>
      </c>
    </row>
  </sheetData>
  <mergeCells count="7">
    <mergeCell ref="B1:F1"/>
    <mergeCell ref="A3:AF3"/>
    <mergeCell ref="A9:AF9"/>
    <mergeCell ref="A15:AF15"/>
    <mergeCell ref="A22:AF22"/>
    <mergeCell ref="A28:AF28"/>
    <mergeCell ref="A35:AF3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28B22"/>
    <pageSetUpPr fitToPage="false"/>
  </sheetPr>
  <dimension ref="A1:AF3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40"/>
    <col collapsed="false" customWidth="true" hidden="false" outlineLevel="0" max="32" min="3" style="1" width="11"/>
  </cols>
  <sheetData>
    <row r="1" customFormat="false" ht="15.75" hidden="false" customHeight="true" outlineLevel="0" collapsed="false">
      <c r="B1" s="44" t="s">
        <v>185</v>
      </c>
      <c r="C1" s="44"/>
      <c r="D1" s="44"/>
      <c r="E1" s="44"/>
      <c r="F1" s="44"/>
    </row>
    <row r="3" customFormat="false" ht="15" hidden="false" customHeight="true" outlineLevel="0" collapsed="false">
      <c r="A3" s="9" t="s">
        <v>186</v>
      </c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</row>
    <row r="4" customFormat="false" ht="15" hidden="false" customHeight="true" outlineLevel="0" collapsed="false">
      <c r="B4" s="45" t="s">
        <v>117</v>
      </c>
      <c r="C4" s="46" t="n">
        <f aca="false">'Timing &amp; Calendar'!C$10</f>
        <v>1</v>
      </c>
      <c r="D4" s="46" t="n">
        <f aca="false">'Timing &amp; Calendar'!D$10</f>
        <v>2</v>
      </c>
      <c r="E4" s="46" t="n">
        <f aca="false">'Timing &amp; Calendar'!E$10</f>
        <v>3</v>
      </c>
      <c r="F4" s="46" t="n">
        <f aca="false">'Timing &amp; Calendar'!F$10</f>
        <v>4</v>
      </c>
      <c r="G4" s="46" t="n">
        <f aca="false">'Timing &amp; Calendar'!G$10</f>
        <v>5</v>
      </c>
      <c r="H4" s="46" t="n">
        <f aca="false">'Timing &amp; Calendar'!H$10</f>
        <v>6</v>
      </c>
      <c r="I4" s="46" t="n">
        <f aca="false">'Timing &amp; Calendar'!I$10</f>
        <v>7</v>
      </c>
      <c r="J4" s="46" t="n">
        <f aca="false">'Timing &amp; Calendar'!J$10</f>
        <v>8</v>
      </c>
      <c r="K4" s="46" t="n">
        <f aca="false">'Timing &amp; Calendar'!K$10</f>
        <v>9</v>
      </c>
      <c r="L4" s="46" t="n">
        <f aca="false">'Timing &amp; Calendar'!L$10</f>
        <v>10</v>
      </c>
      <c r="M4" s="46" t="n">
        <f aca="false">'Timing &amp; Calendar'!M$10</f>
        <v>11</v>
      </c>
      <c r="N4" s="46" t="n">
        <f aca="false">'Timing &amp; Calendar'!N$10</f>
        <v>12</v>
      </c>
      <c r="O4" s="46" t="n">
        <f aca="false">'Timing &amp; Calendar'!O$10</f>
        <v>13</v>
      </c>
      <c r="P4" s="46" t="n">
        <f aca="false">'Timing &amp; Calendar'!P$10</f>
        <v>14</v>
      </c>
      <c r="Q4" s="46" t="n">
        <f aca="false">'Timing &amp; Calendar'!Q$10</f>
        <v>15</v>
      </c>
      <c r="R4" s="46" t="n">
        <f aca="false">'Timing &amp; Calendar'!R$10</f>
        <v>16</v>
      </c>
      <c r="S4" s="46" t="n">
        <f aca="false">'Timing &amp; Calendar'!S$10</f>
        <v>17</v>
      </c>
      <c r="T4" s="46" t="n">
        <f aca="false">'Timing &amp; Calendar'!T$10</f>
        <v>18</v>
      </c>
      <c r="U4" s="46" t="n">
        <f aca="false">'Timing &amp; Calendar'!U$10</f>
        <v>19</v>
      </c>
      <c r="V4" s="46" t="n">
        <f aca="false">'Timing &amp; Calendar'!V$10</f>
        <v>20</v>
      </c>
      <c r="W4" s="46" t="n">
        <f aca="false">'Timing &amp; Calendar'!W$10</f>
        <v>21</v>
      </c>
      <c r="X4" s="46" t="n">
        <f aca="false">'Timing &amp; Calendar'!X$10</f>
        <v>22</v>
      </c>
      <c r="Y4" s="46" t="n">
        <f aca="false">'Timing &amp; Calendar'!Y$10</f>
        <v>23</v>
      </c>
      <c r="Z4" s="46" t="n">
        <f aca="false">'Timing &amp; Calendar'!Z$10</f>
        <v>24</v>
      </c>
      <c r="AA4" s="46" t="n">
        <f aca="false">'Timing &amp; Calendar'!AA$10</f>
        <v>25</v>
      </c>
      <c r="AB4" s="46" t="n">
        <f aca="false">'Timing &amp; Calendar'!AB$10</f>
        <v>26</v>
      </c>
      <c r="AC4" s="46" t="n">
        <f aca="false">'Timing &amp; Calendar'!AC$10</f>
        <v>27</v>
      </c>
      <c r="AD4" s="46" t="n">
        <f aca="false">'Timing &amp; Calendar'!AD$10</f>
        <v>28</v>
      </c>
      <c r="AE4" s="46" t="n">
        <f aca="false">'Timing &amp; Calendar'!AE$10</f>
        <v>29</v>
      </c>
      <c r="AF4" s="46" t="n">
        <f aca="false">'Timing &amp; Calendar'!AF$10</f>
        <v>30</v>
      </c>
    </row>
    <row r="5" customFormat="false" ht="15" hidden="false" customHeight="true" outlineLevel="0" collapsed="false">
      <c r="B5" s="47" t="s">
        <v>184</v>
      </c>
      <c r="C5" s="64" t="n">
        <f aca="false">Operations!C36</f>
        <v>11321773.1</v>
      </c>
      <c r="D5" s="64" t="n">
        <f aca="false">Operations!D36</f>
        <v>11421181.0617476</v>
      </c>
      <c r="E5" s="64" t="n">
        <f aca="false">Operations!E36</f>
        <v>12327859.6664975</v>
      </c>
      <c r="F5" s="64" t="n">
        <f aca="false">Operations!F36</f>
        <v>12437929.1288168</v>
      </c>
      <c r="G5" s="64" t="n">
        <f aca="false">Operations!G36</f>
        <v>13166521.7598253</v>
      </c>
      <c r="H5" s="64" t="n">
        <f aca="false">Operations!H36</f>
        <v>13285399.9728457</v>
      </c>
      <c r="I5" s="64" t="n">
        <f aca="false">Operations!I36</f>
        <v>13403401.3569779</v>
      </c>
      <c r="J5" s="64" t="n">
        <f aca="false">Operations!J36</f>
        <v>13524447.5297062</v>
      </c>
      <c r="K5" s="64" t="n">
        <f aca="false">Operations!K36</f>
        <v>13645268.0065965</v>
      </c>
      <c r="L5" s="64" t="n">
        <f aca="false">Operations!L36</f>
        <v>13768528.3863989</v>
      </c>
      <c r="M5" s="64" t="n">
        <f aca="false">Operations!M36</f>
        <v>13890880.2170671</v>
      </c>
      <c r="N5" s="64" t="n">
        <f aca="false">Operations!N36</f>
        <v>14016389.7091471</v>
      </c>
      <c r="O5" s="64" t="n">
        <f aca="false">Operations!O36</f>
        <v>14140974.3810857</v>
      </c>
      <c r="P5" s="64" t="n">
        <f aca="false">Operations!P36</f>
        <v>14268774.6551532</v>
      </c>
      <c r="Q5" s="64" t="n">
        <f aca="false">Operations!Q36</f>
        <v>14395633.5428623</v>
      </c>
      <c r="R5" s="64" t="n">
        <f aca="false">Operations!R36</f>
        <v>14525767.0534714</v>
      </c>
      <c r="S5" s="64" t="n">
        <f aca="false">Operations!S36</f>
        <v>14655659.2112939</v>
      </c>
      <c r="T5" s="64" t="n">
        <f aca="false">Operations!T36</f>
        <v>14788175.7839759</v>
      </c>
      <c r="U5" s="64" t="n">
        <f aca="false">Operations!U36</f>
        <v>14919716.8829187</v>
      </c>
      <c r="V5" s="64" t="n">
        <f aca="false">Operations!V36</f>
        <v>15054654.1381074</v>
      </c>
      <c r="W5" s="64" t="n">
        <f aca="false">Operations!W36</f>
        <v>15188598.4338287</v>
      </c>
      <c r="X5" s="64" t="n">
        <f aca="false">Operations!X36</f>
        <v>15326001.2743244</v>
      </c>
      <c r="Y5" s="64" t="n">
        <f aca="false">Operations!Y36</f>
        <v>15462393.3520401</v>
      </c>
      <c r="Z5" s="64" t="n">
        <f aca="false">Operations!Z36</f>
        <v>15602307.5274713</v>
      </c>
      <c r="AA5" s="64" t="n">
        <f aca="false">Operations!AA36</f>
        <v>15741963.6066211</v>
      </c>
      <c r="AB5" s="64" t="n">
        <f aca="false">Operations!AB36</f>
        <v>15884442.8025998</v>
      </c>
      <c r="AC5" s="64" t="n">
        <f aca="false">Operations!AC36</f>
        <v>16025874.6018727</v>
      </c>
      <c r="AD5" s="64" t="n">
        <f aca="false">Operations!AD36</f>
        <v>16170959.3691805</v>
      </c>
      <c r="AE5" s="64" t="n">
        <f aca="false">Operations!AE36</f>
        <v>16314977.9472252</v>
      </c>
      <c r="AF5" s="64" t="n">
        <f aca="false">Operations!AF36</f>
        <v>16462716.6772217</v>
      </c>
    </row>
    <row r="6" customFormat="false" ht="15" hidden="false" customHeight="true" outlineLevel="0" collapsed="false">
      <c r="B6" s="47" t="s">
        <v>187</v>
      </c>
      <c r="C6" s="56" t="n">
        <f aca="false">IF(1&lt;=2*Assumptions!$F$50,Construction!$C$4/(2*Assumptions!$F$50),0)</f>
        <v>17272727.2727273</v>
      </c>
      <c r="D6" s="56" t="n">
        <f aca="false">IF(2&lt;=2*Assumptions!$F$50,Construction!$C$4/(2*Assumptions!$F$50),0)</f>
        <v>17272727.2727273</v>
      </c>
      <c r="E6" s="56" t="n">
        <f aca="false">IF(3&lt;=2*Assumptions!$F$50,Construction!$C$4/(2*Assumptions!$F$50),0)</f>
        <v>17272727.2727273</v>
      </c>
      <c r="F6" s="56" t="n">
        <f aca="false">IF(4&lt;=2*Assumptions!$F$50,Construction!$C$4/(2*Assumptions!$F$50),0)</f>
        <v>17272727.2727273</v>
      </c>
      <c r="G6" s="56" t="n">
        <f aca="false">IF(5&lt;=2*Assumptions!$F$50,Construction!$C$4/(2*Assumptions!$F$50),0)</f>
        <v>17272727.2727273</v>
      </c>
      <c r="H6" s="56" t="n">
        <f aca="false">IF(6&lt;=2*Assumptions!$F$50,Construction!$C$4/(2*Assumptions!$F$50),0)</f>
        <v>17272727.2727273</v>
      </c>
      <c r="I6" s="56" t="n">
        <f aca="false">IF(7&lt;=2*Assumptions!$F$50,Construction!$C$4/(2*Assumptions!$F$50),0)</f>
        <v>17272727.2727273</v>
      </c>
      <c r="J6" s="56" t="n">
        <f aca="false">IF(8&lt;=2*Assumptions!$F$50,Construction!$C$4/(2*Assumptions!$F$50),0)</f>
        <v>17272727.2727273</v>
      </c>
      <c r="K6" s="56" t="n">
        <f aca="false">IF(9&lt;=2*Assumptions!$F$50,Construction!$C$4/(2*Assumptions!$F$50),0)</f>
        <v>17272727.2727273</v>
      </c>
      <c r="L6" s="56" t="n">
        <f aca="false">IF(10&lt;=2*Assumptions!$F$50,Construction!$C$4/(2*Assumptions!$F$50),0)</f>
        <v>17272727.2727273</v>
      </c>
      <c r="M6" s="56" t="n">
        <f aca="false">IF(11&lt;=2*Assumptions!$F$50,Construction!$C$4/(2*Assumptions!$F$50),0)</f>
        <v>17272727.2727273</v>
      </c>
      <c r="N6" s="56" t="n">
        <f aca="false">IF(12&lt;=2*Assumptions!$F$50,Construction!$C$4/(2*Assumptions!$F$50),0)</f>
        <v>17272727.2727273</v>
      </c>
      <c r="O6" s="56" t="n">
        <f aca="false">IF(13&lt;=2*Assumptions!$F$50,Construction!$C$4/(2*Assumptions!$F$50),0)</f>
        <v>17272727.2727273</v>
      </c>
      <c r="P6" s="56" t="n">
        <f aca="false">IF(14&lt;=2*Assumptions!$F$50,Construction!$C$4/(2*Assumptions!$F$50),0)</f>
        <v>17272727.2727273</v>
      </c>
      <c r="Q6" s="56" t="n">
        <f aca="false">IF(15&lt;=2*Assumptions!$F$50,Construction!$C$4/(2*Assumptions!$F$50),0)</f>
        <v>17272727.2727273</v>
      </c>
      <c r="R6" s="56" t="n">
        <f aca="false">IF(16&lt;=2*Assumptions!$F$50,Construction!$C$4/(2*Assumptions!$F$50),0)</f>
        <v>17272727.2727273</v>
      </c>
      <c r="S6" s="56" t="n">
        <f aca="false">IF(17&lt;=2*Assumptions!$F$50,Construction!$C$4/(2*Assumptions!$F$50),0)</f>
        <v>17272727.2727273</v>
      </c>
      <c r="T6" s="56" t="n">
        <f aca="false">IF(18&lt;=2*Assumptions!$F$50,Construction!$C$4/(2*Assumptions!$F$50),0)</f>
        <v>17272727.2727273</v>
      </c>
      <c r="U6" s="56" t="n">
        <f aca="false">IF(19&lt;=2*Assumptions!$F$50,Construction!$C$4/(2*Assumptions!$F$50),0)</f>
        <v>17272727.2727273</v>
      </c>
      <c r="V6" s="56" t="n">
        <f aca="false">IF(20&lt;=2*Assumptions!$F$50,Construction!$C$4/(2*Assumptions!$F$50),0)</f>
        <v>17272727.2727273</v>
      </c>
      <c r="W6" s="56" t="n">
        <f aca="false">IF(21&lt;=2*Assumptions!$F$50,Construction!$C$4/(2*Assumptions!$F$50),0)</f>
        <v>17272727.2727273</v>
      </c>
      <c r="X6" s="56" t="n">
        <f aca="false">IF(22&lt;=2*Assumptions!$F$50,Construction!$C$4/(2*Assumptions!$F$50),0)</f>
        <v>17272727.2727273</v>
      </c>
      <c r="Y6" s="56" t="n">
        <f aca="false">IF(23&lt;=2*Assumptions!$F$50,Construction!$C$4/(2*Assumptions!$F$50),0)</f>
        <v>0</v>
      </c>
      <c r="Z6" s="56" t="n">
        <f aca="false">IF(24&lt;=2*Assumptions!$F$50,Construction!$C$4/(2*Assumptions!$F$50),0)</f>
        <v>0</v>
      </c>
      <c r="AA6" s="56" t="n">
        <f aca="false">IF(25&lt;=2*Assumptions!$F$50,Construction!$C$4/(2*Assumptions!$F$50),0)</f>
        <v>0</v>
      </c>
      <c r="AB6" s="56" t="n">
        <f aca="false">IF(26&lt;=2*Assumptions!$F$50,Construction!$C$4/(2*Assumptions!$F$50),0)</f>
        <v>0</v>
      </c>
      <c r="AC6" s="56" t="n">
        <f aca="false">IF(27&lt;=2*Assumptions!$F$50,Construction!$C$4/(2*Assumptions!$F$50),0)</f>
        <v>0</v>
      </c>
      <c r="AD6" s="56" t="n">
        <f aca="false">IF(28&lt;=2*Assumptions!$F$50,Construction!$C$4/(2*Assumptions!$F$50),0)</f>
        <v>0</v>
      </c>
      <c r="AE6" s="56" t="n">
        <f aca="false">IF(29&lt;=2*Assumptions!$F$50,Construction!$C$4/(2*Assumptions!$F$50),0)</f>
        <v>0</v>
      </c>
      <c r="AF6" s="56" t="n">
        <f aca="false">IF(30&lt;=2*Assumptions!$F$50,Construction!$C$4/(2*Assumptions!$F$50),0)</f>
        <v>0</v>
      </c>
    </row>
    <row r="7" customFormat="false" ht="15" hidden="false" customHeight="true" outlineLevel="0" collapsed="false">
      <c r="B7" s="47" t="s">
        <v>188</v>
      </c>
      <c r="C7" s="56" t="n">
        <f aca="false">IF(1&lt;=2*Assumptions!$F$51,Construction!$C$5/(2*Assumptions!$F$51),0)</f>
        <v>4312500</v>
      </c>
      <c r="D7" s="56" t="n">
        <f aca="false">IF(2&lt;=2*Assumptions!$F$51,Construction!$C$5/(2*Assumptions!$F$51),0)</f>
        <v>4312500</v>
      </c>
      <c r="E7" s="56" t="n">
        <f aca="false">IF(3&lt;=2*Assumptions!$F$51,Construction!$C$5/(2*Assumptions!$F$51),0)</f>
        <v>4312500</v>
      </c>
      <c r="F7" s="56" t="n">
        <f aca="false">IF(4&lt;=2*Assumptions!$F$51,Construction!$C$5/(2*Assumptions!$F$51),0)</f>
        <v>4312500</v>
      </c>
      <c r="G7" s="56" t="n">
        <f aca="false">IF(5&lt;=2*Assumptions!$F$51,Construction!$C$5/(2*Assumptions!$F$51),0)</f>
        <v>4312500</v>
      </c>
      <c r="H7" s="56" t="n">
        <f aca="false">IF(6&lt;=2*Assumptions!$F$51,Construction!$C$5/(2*Assumptions!$F$51),0)</f>
        <v>4312500</v>
      </c>
      <c r="I7" s="56" t="n">
        <f aca="false">IF(7&lt;=2*Assumptions!$F$51,Construction!$C$5/(2*Assumptions!$F$51),0)</f>
        <v>4312500</v>
      </c>
      <c r="J7" s="56" t="n">
        <f aca="false">IF(8&lt;=2*Assumptions!$F$51,Construction!$C$5/(2*Assumptions!$F$51),0)</f>
        <v>4312500</v>
      </c>
      <c r="K7" s="56" t="n">
        <f aca="false">IF(9&lt;=2*Assumptions!$F$51,Construction!$C$5/(2*Assumptions!$F$51),0)</f>
        <v>4312500</v>
      </c>
      <c r="L7" s="56" t="n">
        <f aca="false">IF(10&lt;=2*Assumptions!$F$51,Construction!$C$5/(2*Assumptions!$F$51),0)</f>
        <v>4312500</v>
      </c>
      <c r="M7" s="56" t="n">
        <f aca="false">IF(11&lt;=2*Assumptions!$F$51,Construction!$C$5/(2*Assumptions!$F$51),0)</f>
        <v>4312500</v>
      </c>
      <c r="N7" s="56" t="n">
        <f aca="false">IF(12&lt;=2*Assumptions!$F$51,Construction!$C$5/(2*Assumptions!$F$51),0)</f>
        <v>4312500</v>
      </c>
      <c r="O7" s="56" t="n">
        <f aca="false">IF(13&lt;=2*Assumptions!$F$51,Construction!$C$5/(2*Assumptions!$F$51),0)</f>
        <v>4312500</v>
      </c>
      <c r="P7" s="56" t="n">
        <f aca="false">IF(14&lt;=2*Assumptions!$F$51,Construction!$C$5/(2*Assumptions!$F$51),0)</f>
        <v>4312500</v>
      </c>
      <c r="Q7" s="56" t="n">
        <f aca="false">IF(15&lt;=2*Assumptions!$F$51,Construction!$C$5/(2*Assumptions!$F$51),0)</f>
        <v>4312500</v>
      </c>
      <c r="R7" s="56" t="n">
        <f aca="false">IF(16&lt;=2*Assumptions!$F$51,Construction!$C$5/(2*Assumptions!$F$51),0)</f>
        <v>4312500</v>
      </c>
      <c r="S7" s="56" t="n">
        <f aca="false">IF(17&lt;=2*Assumptions!$F$51,Construction!$C$5/(2*Assumptions!$F$51),0)</f>
        <v>4312500</v>
      </c>
      <c r="T7" s="56" t="n">
        <f aca="false">IF(18&lt;=2*Assumptions!$F$51,Construction!$C$5/(2*Assumptions!$F$51),0)</f>
        <v>4312500</v>
      </c>
      <c r="U7" s="56" t="n">
        <f aca="false">IF(19&lt;=2*Assumptions!$F$51,Construction!$C$5/(2*Assumptions!$F$51),0)</f>
        <v>4312500</v>
      </c>
      <c r="V7" s="56" t="n">
        <f aca="false">IF(20&lt;=2*Assumptions!$F$51,Construction!$C$5/(2*Assumptions!$F$51),0)</f>
        <v>4312500</v>
      </c>
      <c r="W7" s="56" t="n">
        <f aca="false">IF(21&lt;=2*Assumptions!$F$51,Construction!$C$5/(2*Assumptions!$F$51),0)</f>
        <v>4312500</v>
      </c>
      <c r="X7" s="56" t="n">
        <f aca="false">IF(22&lt;=2*Assumptions!$F$51,Construction!$C$5/(2*Assumptions!$F$51),0)</f>
        <v>4312500</v>
      </c>
      <c r="Y7" s="56" t="n">
        <f aca="false">IF(23&lt;=2*Assumptions!$F$51,Construction!$C$5/(2*Assumptions!$F$51),0)</f>
        <v>4312500</v>
      </c>
      <c r="Z7" s="56" t="n">
        <f aca="false">IF(24&lt;=2*Assumptions!$F$51,Construction!$C$5/(2*Assumptions!$F$51),0)</f>
        <v>4312500</v>
      </c>
      <c r="AA7" s="56" t="n">
        <f aca="false">IF(25&lt;=2*Assumptions!$F$51,Construction!$C$5/(2*Assumptions!$F$51),0)</f>
        <v>0</v>
      </c>
      <c r="AB7" s="56" t="n">
        <f aca="false">IF(26&lt;=2*Assumptions!$F$51,Construction!$C$5/(2*Assumptions!$F$51),0)</f>
        <v>0</v>
      </c>
      <c r="AC7" s="56" t="n">
        <f aca="false">IF(27&lt;=2*Assumptions!$F$51,Construction!$C$5/(2*Assumptions!$F$51),0)</f>
        <v>0</v>
      </c>
      <c r="AD7" s="56" t="n">
        <f aca="false">IF(28&lt;=2*Assumptions!$F$51,Construction!$C$5/(2*Assumptions!$F$51),0)</f>
        <v>0</v>
      </c>
      <c r="AE7" s="56" t="n">
        <f aca="false">IF(29&lt;=2*Assumptions!$F$51,Construction!$C$5/(2*Assumptions!$F$51),0)</f>
        <v>0</v>
      </c>
      <c r="AF7" s="56" t="n">
        <f aca="false">IF(30&lt;=2*Assumptions!$F$51,Construction!$C$5/(2*Assumptions!$F$51),0)</f>
        <v>0</v>
      </c>
    </row>
    <row r="8" customFormat="false" ht="15" hidden="false" customHeight="true" outlineLevel="0" collapsed="false">
      <c r="B8" s="47" t="s">
        <v>189</v>
      </c>
      <c r="C8" s="56" t="n">
        <f aca="false">MAX(0,C5-C6-C7)</f>
        <v>0</v>
      </c>
      <c r="D8" s="56" t="n">
        <f aca="false">MAX(0,D5-D6-D7)</f>
        <v>0</v>
      </c>
      <c r="E8" s="56" t="n">
        <f aca="false">MAX(0,E5-E6-E7)</f>
        <v>0</v>
      </c>
      <c r="F8" s="56" t="n">
        <f aca="false">MAX(0,F5-F6-F7)</f>
        <v>0</v>
      </c>
      <c r="G8" s="56" t="n">
        <f aca="false">MAX(0,G5-G6-G7)</f>
        <v>0</v>
      </c>
      <c r="H8" s="56" t="n">
        <f aca="false">MAX(0,H5-H6-H7)</f>
        <v>0</v>
      </c>
      <c r="I8" s="56" t="n">
        <f aca="false">MAX(0,I5-I6-I7)</f>
        <v>0</v>
      </c>
      <c r="J8" s="56" t="n">
        <f aca="false">MAX(0,J5-J6-J7)</f>
        <v>0</v>
      </c>
      <c r="K8" s="56" t="n">
        <f aca="false">MAX(0,K5-K6-K7)</f>
        <v>0</v>
      </c>
      <c r="L8" s="56" t="n">
        <f aca="false">MAX(0,L5-L6-L7)</f>
        <v>0</v>
      </c>
      <c r="M8" s="56" t="n">
        <f aca="false">MAX(0,M5-M6-M7)</f>
        <v>0</v>
      </c>
      <c r="N8" s="56" t="n">
        <f aca="false">MAX(0,N5-N6-N7)</f>
        <v>0</v>
      </c>
      <c r="O8" s="56" t="n">
        <f aca="false">MAX(0,O5-O6-O7)</f>
        <v>0</v>
      </c>
      <c r="P8" s="56" t="n">
        <f aca="false">MAX(0,P5-P6-P7)</f>
        <v>0</v>
      </c>
      <c r="Q8" s="56" t="n">
        <f aca="false">MAX(0,Q5-Q6-Q7)</f>
        <v>0</v>
      </c>
      <c r="R8" s="56" t="n">
        <f aca="false">MAX(0,R5-R6-R7)</f>
        <v>0</v>
      </c>
      <c r="S8" s="56" t="n">
        <f aca="false">MAX(0,S5-S6-S7)</f>
        <v>0</v>
      </c>
      <c r="T8" s="56" t="n">
        <f aca="false">MAX(0,T5-T6-T7)</f>
        <v>0</v>
      </c>
      <c r="U8" s="56" t="n">
        <f aca="false">MAX(0,U5-U6-U7)</f>
        <v>0</v>
      </c>
      <c r="V8" s="56" t="n">
        <f aca="false">MAX(0,V5-V6-V7)</f>
        <v>0</v>
      </c>
      <c r="W8" s="56" t="n">
        <f aca="false">MAX(0,W5-W6-W7)</f>
        <v>0</v>
      </c>
      <c r="X8" s="56" t="n">
        <f aca="false">MAX(0,X5-X6-X7)</f>
        <v>0</v>
      </c>
      <c r="Y8" s="56" t="n">
        <f aca="false">MAX(0,Y5-Y6-Y7)</f>
        <v>11149893.3520401</v>
      </c>
      <c r="Z8" s="56" t="n">
        <f aca="false">MAX(0,Z5-Z6-Z7)</f>
        <v>11289807.5274713</v>
      </c>
      <c r="AA8" s="56" t="n">
        <f aca="false">MAX(0,AA5-AA6-AA7)</f>
        <v>15741963.6066211</v>
      </c>
      <c r="AB8" s="56" t="n">
        <f aca="false">MAX(0,AB5-AB6-AB7)</f>
        <v>15884442.8025998</v>
      </c>
      <c r="AC8" s="56" t="n">
        <f aca="false">MAX(0,AC5-AC6-AC7)</f>
        <v>16025874.6018727</v>
      </c>
      <c r="AD8" s="56" t="n">
        <f aca="false">MAX(0,AD5-AD6-AD7)</f>
        <v>16170959.3691805</v>
      </c>
      <c r="AE8" s="56" t="n">
        <f aca="false">MAX(0,AE5-AE6-AE7)</f>
        <v>16314977.9472252</v>
      </c>
      <c r="AF8" s="56" t="n">
        <f aca="false">MAX(0,AF5-AF6-AF7)</f>
        <v>16462716.6772217</v>
      </c>
    </row>
    <row r="9" customFormat="false" ht="15" hidden="false" customHeight="true" outlineLevel="0" collapsed="false">
      <c r="B9" s="47" t="s">
        <v>190</v>
      </c>
      <c r="C9" s="56" t="n">
        <f aca="false">C8*Assumptions!$F$49</f>
        <v>0</v>
      </c>
      <c r="D9" s="56" t="n">
        <f aca="false">D8*Assumptions!$F$49</f>
        <v>0</v>
      </c>
      <c r="E9" s="56" t="n">
        <f aca="false">E8*Assumptions!$F$49</f>
        <v>0</v>
      </c>
      <c r="F9" s="56" t="n">
        <f aca="false">F8*Assumptions!$F$49</f>
        <v>0</v>
      </c>
      <c r="G9" s="56" t="n">
        <f aca="false">G8*Assumptions!$F$49</f>
        <v>0</v>
      </c>
      <c r="H9" s="56" t="n">
        <f aca="false">H8*Assumptions!$F$49</f>
        <v>0</v>
      </c>
      <c r="I9" s="56" t="n">
        <f aca="false">I8*Assumptions!$F$49</f>
        <v>0</v>
      </c>
      <c r="J9" s="56" t="n">
        <f aca="false">J8*Assumptions!$F$49</f>
        <v>0</v>
      </c>
      <c r="K9" s="56" t="n">
        <f aca="false">K8*Assumptions!$F$49</f>
        <v>0</v>
      </c>
      <c r="L9" s="56" t="n">
        <f aca="false">L8*Assumptions!$F$49</f>
        <v>0</v>
      </c>
      <c r="M9" s="56" t="n">
        <f aca="false">M8*Assumptions!$F$49</f>
        <v>0</v>
      </c>
      <c r="N9" s="56" t="n">
        <f aca="false">N8*Assumptions!$F$49</f>
        <v>0</v>
      </c>
      <c r="O9" s="56" t="n">
        <f aca="false">O8*Assumptions!$F$49</f>
        <v>0</v>
      </c>
      <c r="P9" s="56" t="n">
        <f aca="false">P8*Assumptions!$F$49</f>
        <v>0</v>
      </c>
      <c r="Q9" s="56" t="n">
        <f aca="false">Q8*Assumptions!$F$49</f>
        <v>0</v>
      </c>
      <c r="R9" s="56" t="n">
        <f aca="false">R8*Assumptions!$F$49</f>
        <v>0</v>
      </c>
      <c r="S9" s="56" t="n">
        <f aca="false">S8*Assumptions!$F$49</f>
        <v>0</v>
      </c>
      <c r="T9" s="56" t="n">
        <f aca="false">T8*Assumptions!$F$49</f>
        <v>0</v>
      </c>
      <c r="U9" s="56" t="n">
        <f aca="false">U8*Assumptions!$F$49</f>
        <v>0</v>
      </c>
      <c r="V9" s="56" t="n">
        <f aca="false">V8*Assumptions!$F$49</f>
        <v>0</v>
      </c>
      <c r="W9" s="56" t="n">
        <f aca="false">W8*Assumptions!$F$49</f>
        <v>0</v>
      </c>
      <c r="X9" s="56" t="n">
        <f aca="false">X8*Assumptions!$F$49</f>
        <v>0</v>
      </c>
      <c r="Y9" s="56" t="n">
        <f aca="false">Y8*Assumptions!$F$49</f>
        <v>2787473.33801003</v>
      </c>
      <c r="Z9" s="56" t="n">
        <f aca="false">Z8*Assumptions!$F$49</f>
        <v>2822451.88186783</v>
      </c>
      <c r="AA9" s="56" t="n">
        <f aca="false">AA8*Assumptions!$F$49</f>
        <v>3935490.90165527</v>
      </c>
      <c r="AB9" s="56" t="n">
        <f aca="false">AB8*Assumptions!$F$49</f>
        <v>3971110.70064996</v>
      </c>
      <c r="AC9" s="56" t="n">
        <f aca="false">AC8*Assumptions!$F$49</f>
        <v>4006468.65046818</v>
      </c>
      <c r="AD9" s="56" t="n">
        <f aca="false">AD8*Assumptions!$F$49</f>
        <v>4042739.84229511</v>
      </c>
      <c r="AE9" s="56" t="n">
        <f aca="false">AE8*Assumptions!$F$49</f>
        <v>4078744.4868063</v>
      </c>
      <c r="AF9" s="56" t="n">
        <f aca="false">AF8*Assumptions!$F$49</f>
        <v>4115679.16930543</v>
      </c>
    </row>
    <row r="10" customFormat="false" ht="15" hidden="false" customHeight="true" outlineLevel="0" collapsed="false">
      <c r="B10" s="53" t="s">
        <v>191</v>
      </c>
      <c r="C10" s="65" t="n">
        <f aca="false">C5-C9</f>
        <v>11321773.1</v>
      </c>
      <c r="D10" s="65" t="n">
        <f aca="false">D5-D9</f>
        <v>11421181.0617476</v>
      </c>
      <c r="E10" s="65" t="n">
        <f aca="false">E5-E9</f>
        <v>12327859.6664975</v>
      </c>
      <c r="F10" s="65" t="n">
        <f aca="false">F5-F9</f>
        <v>12437929.1288168</v>
      </c>
      <c r="G10" s="65" t="n">
        <f aca="false">G5-G9</f>
        <v>13166521.7598253</v>
      </c>
      <c r="H10" s="65" t="n">
        <f aca="false">H5-H9</f>
        <v>13285399.9728457</v>
      </c>
      <c r="I10" s="65" t="n">
        <f aca="false">I5-I9</f>
        <v>13403401.3569779</v>
      </c>
      <c r="J10" s="65" t="n">
        <f aca="false">J5-J9</f>
        <v>13524447.5297062</v>
      </c>
      <c r="K10" s="65" t="n">
        <f aca="false">K5-K9</f>
        <v>13645268.0065965</v>
      </c>
      <c r="L10" s="65" t="n">
        <f aca="false">L5-L9</f>
        <v>13768528.3863989</v>
      </c>
      <c r="M10" s="65" t="n">
        <f aca="false">M5-M9</f>
        <v>13890880.2170671</v>
      </c>
      <c r="N10" s="65" t="n">
        <f aca="false">N5-N9</f>
        <v>14016389.7091471</v>
      </c>
      <c r="O10" s="65" t="n">
        <f aca="false">O5-O9</f>
        <v>14140974.3810857</v>
      </c>
      <c r="P10" s="65" t="n">
        <f aca="false">P5-P9</f>
        <v>14268774.6551532</v>
      </c>
      <c r="Q10" s="65" t="n">
        <f aca="false">Q5-Q9</f>
        <v>14395633.5428623</v>
      </c>
      <c r="R10" s="65" t="n">
        <f aca="false">R5-R9</f>
        <v>14525767.0534714</v>
      </c>
      <c r="S10" s="65" t="n">
        <f aca="false">S5-S9</f>
        <v>14655659.2112939</v>
      </c>
      <c r="T10" s="65" t="n">
        <f aca="false">T5-T9</f>
        <v>14788175.7839759</v>
      </c>
      <c r="U10" s="65" t="n">
        <f aca="false">U5-U9</f>
        <v>14919716.8829187</v>
      </c>
      <c r="V10" s="65" t="n">
        <f aca="false">V5-V9</f>
        <v>15054654.1381074</v>
      </c>
      <c r="W10" s="65" t="n">
        <f aca="false">W5-W9</f>
        <v>15188598.4338287</v>
      </c>
      <c r="X10" s="65" t="n">
        <f aca="false">X5-X9</f>
        <v>15326001.2743244</v>
      </c>
      <c r="Y10" s="65" t="n">
        <f aca="false">Y5-Y9</f>
        <v>12674920.0140301</v>
      </c>
      <c r="Z10" s="65" t="n">
        <f aca="false">Z5-Z9</f>
        <v>12779855.6456035</v>
      </c>
      <c r="AA10" s="65" t="n">
        <f aca="false">AA5-AA9</f>
        <v>11806472.7049658</v>
      </c>
      <c r="AB10" s="65" t="n">
        <f aca="false">AB5-AB9</f>
        <v>11913332.1019499</v>
      </c>
      <c r="AC10" s="65" t="n">
        <f aca="false">AC5-AC9</f>
        <v>12019405.9514045</v>
      </c>
      <c r="AD10" s="65" t="n">
        <f aca="false">AD5-AD9</f>
        <v>12128219.5268853</v>
      </c>
      <c r="AE10" s="65" t="n">
        <f aca="false">AE5-AE9</f>
        <v>12236233.4604189</v>
      </c>
      <c r="AF10" s="65" t="n">
        <f aca="false">AF5-AF9</f>
        <v>12347037.5079163</v>
      </c>
    </row>
    <row r="12" customFormat="false" ht="15" hidden="false" customHeight="true" outlineLevel="0" collapsed="false">
      <c r="A12" s="9" t="s">
        <v>192</v>
      </c>
      <c r="B12" s="9"/>
      <c r="C12" s="9"/>
      <c r="D12" s="9"/>
      <c r="E12" s="9"/>
      <c r="F12" s="9"/>
      <c r="G12" s="9"/>
      <c r="H12" s="9"/>
    </row>
    <row r="13" customFormat="false" ht="15" hidden="false" customHeight="true" outlineLevel="0" collapsed="false">
      <c r="B13" s="16" t="s">
        <v>193</v>
      </c>
      <c r="C13" s="66" t="n">
        <f aca="false">Assumptions!$F$40/2</f>
        <v>0.03875</v>
      </c>
    </row>
    <row r="14" customFormat="false" ht="15" hidden="false" customHeight="true" outlineLevel="0" collapsed="false">
      <c r="B14" s="16" t="s">
        <v>194</v>
      </c>
      <c r="C14" s="67" t="n">
        <f aca="false">Assumptions!$F$43</f>
        <v>1.35</v>
      </c>
    </row>
    <row r="15" customFormat="false" ht="15" hidden="false" customHeight="true" outlineLevel="0" collapsed="false">
      <c r="B15" s="16" t="s">
        <v>195</v>
      </c>
      <c r="C15" s="68" t="n">
        <f aca="false">(C10/$C$14)/(1+$C$13)^1+(D10/$C$14)/(1+$C$13)^2+(E10/$C$14)/(1+$C$13)^3+(F10/$C$14)/(1+$C$13)^4+(G10/$C$14)/(1+$C$13)^5+(H10/$C$14)/(1+$C$13)^6+(I10/$C$14)/(1+$C$13)^7+(J10/$C$14)/(1+$C$13)^8+(K10/$C$14)/(1+$C$13)^9+(L10/$C$14)/(1+$C$13)^10+(M10/$C$14)/(1+$C$13)^11+(N10/$C$14)/(1+$C$13)^12+(O10/$C$14)/(1+$C$13)^13+(P10/$C$14)/(1+$C$13)^14+(Q10/$C$14)/(1+$C$13)^15+(R10/$C$14)/(1+$C$13)^16+(S10/$C$14)/(1+$C$13)^17+(T10/$C$14)/(1+$C$13)^18+(U10/$C$14)/(1+$C$13)^19+(V10/$C$14)/(1+$C$13)^20+(W10/$C$14)/(1+$C$13)^21+(X10/$C$14)/(1+$C$13)^22+(Y10/$C$14)/(1+$C$13)^23+(Z10/$C$14)/(1+$C$13)^24+(AA10/$C$14)/(1+$C$13)^25+(AB10/$C$14)/(1+$C$13)^26+(AC10/$C$14)/(1+$C$13)^27+(AD10/$C$14)/(1+$C$13)^28+(AE10/$C$14)/(1+$C$13)^29+(AF10/$C$14)/(1+$C$13)^30</f>
        <v>173239589.361622</v>
      </c>
    </row>
    <row r="16" customFormat="false" ht="15" hidden="false" customHeight="true" outlineLevel="0" collapsed="false">
      <c r="B16" s="16" t="s">
        <v>196</v>
      </c>
      <c r="C16" s="59" t="n">
        <f aca="false">Construction!$C$6*Assumptions!$F$44</f>
        <v>314275000</v>
      </c>
    </row>
    <row r="17" customFormat="false" ht="15" hidden="false" customHeight="true" outlineLevel="0" collapsed="false">
      <c r="B17" s="20" t="s">
        <v>197</v>
      </c>
      <c r="C17" s="69" t="n">
        <f aca="false">MIN(C15,C16)</f>
        <v>173239589.361622</v>
      </c>
    </row>
    <row r="18" customFormat="false" ht="15" hidden="false" customHeight="true" outlineLevel="0" collapsed="false">
      <c r="B18" s="47" t="s">
        <v>198</v>
      </c>
      <c r="C18" s="47" t="str">
        <f aca="false">IF(C15&lt;C16,"DSCR Sculpting","Gearing Cap")</f>
        <v>DSCR Sculpting</v>
      </c>
    </row>
    <row r="19" customFormat="false" ht="15" hidden="false" customHeight="true" outlineLevel="0" collapsed="false">
      <c r="B19" s="47" t="s">
        <v>199</v>
      </c>
      <c r="C19" s="70" t="n">
        <f aca="false">C17/Construction!$C$6</f>
        <v>0.358303183788256</v>
      </c>
    </row>
    <row r="21" customFormat="false" ht="15" hidden="false" customHeight="true" outlineLevel="0" collapsed="false">
      <c r="A21" s="9" t="s">
        <v>200</v>
      </c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</row>
    <row r="22" customFormat="false" ht="15" hidden="false" customHeight="true" outlineLevel="0" collapsed="false">
      <c r="B22" s="47" t="s">
        <v>201</v>
      </c>
      <c r="C22" s="56" t="n">
        <f aca="false">$C$17</f>
        <v>173239589.361622</v>
      </c>
      <c r="D22" s="56" t="n">
        <f aca="false">C27</f>
        <v>171566124.856792</v>
      </c>
      <c r="E22" s="56" t="n">
        <f aca="false">D27</f>
        <v>169754178.075179</v>
      </c>
      <c r="F22" s="56" t="n">
        <f aca="false">E27</f>
        <v>167200404.574483</v>
      </c>
      <c r="G22" s="56" t="n">
        <f aca="false">F27</f>
        <v>164466139.415584</v>
      </c>
      <c r="H22" s="56" t="n">
        <f aca="false">G27</f>
        <v>161086223.236586</v>
      </c>
      <c r="I22" s="56" t="n">
        <f aca="false">H27</f>
        <v>157487277.370081</v>
      </c>
      <c r="J22" s="56" t="n">
        <f aca="false">I27</f>
        <v>153661463.918558</v>
      </c>
      <c r="K22" s="56" t="n">
        <f aca="false">J27</f>
        <v>149597736.364138</v>
      </c>
      <c r="L22" s="56" t="n">
        <f aca="false">K27</f>
        <v>145287042.717437</v>
      </c>
      <c r="M22" s="56" t="n">
        <f aca="false">L27</f>
        <v>140718005.706886</v>
      </c>
      <c r="N22" s="56" t="n">
        <f aca="false">M27</f>
        <v>135881287.526497</v>
      </c>
      <c r="O22" s="56" t="n">
        <f aca="false">N27</f>
        <v>130764176.522484</v>
      </c>
      <c r="P22" s="56" t="n">
        <f aca="false">O27</f>
        <v>125356492.524889</v>
      </c>
      <c r="Q22" s="56" t="n">
        <f aca="false">P27</f>
        <v>119644593.902708</v>
      </c>
      <c r="R22" s="56" t="n">
        <f aca="false">Q27</f>
        <v>113617389.662465</v>
      </c>
      <c r="S22" s="56" t="n">
        <f aca="false">R27</f>
        <v>107260236.06487</v>
      </c>
      <c r="T22" s="56" t="n">
        <f aca="false">S27</f>
        <v>100560526.352166</v>
      </c>
      <c r="U22" s="56" t="n">
        <f aca="false">T27</f>
        <v>93503042.4638859</v>
      </c>
      <c r="V22" s="56" t="n">
        <f aca="false">U27</f>
        <v>86074643.2238661</v>
      </c>
      <c r="W22" s="56" t="n">
        <f aca="false">V27</f>
        <v>78258439.9909336</v>
      </c>
      <c r="X22" s="56" t="n">
        <f aca="false">W27</f>
        <v>70040140.8858943</v>
      </c>
      <c r="Y22" s="56" t="n">
        <f aca="false">X27</f>
        <v>61401602.8086861</v>
      </c>
      <c r="Z22" s="56" t="n">
        <f aca="false">Y27</f>
        <v>54392085.2775004</v>
      </c>
      <c r="AA22" s="56" t="n">
        <f aca="false">Z27</f>
        <v>47033218.8445195</v>
      </c>
      <c r="AB22" s="56" t="n">
        <f aca="false">AA27</f>
        <v>40110220.7377329</v>
      </c>
      <c r="AC22" s="56" t="n">
        <f aca="false">AB27</f>
        <v>32839801.3454313</v>
      </c>
      <c r="AD22" s="56" t="n">
        <f aca="false">AC27</f>
        <v>25209079.9798597</v>
      </c>
      <c r="AE22" s="56" t="n">
        <f aca="false">AD27</f>
        <v>17202065.5128679</v>
      </c>
      <c r="AF22" s="56" t="n">
        <f aca="false">AE27</f>
        <v>8804768.91414417</v>
      </c>
    </row>
    <row r="23" customFormat="false" ht="15" hidden="false" customHeight="true" outlineLevel="0" collapsed="false">
      <c r="B23" s="47" t="s">
        <v>202</v>
      </c>
      <c r="C23" s="56" t="n">
        <f aca="false">C22*$C$13</f>
        <v>6713034.08776283</v>
      </c>
      <c r="D23" s="56" t="n">
        <f aca="false">D22*$C$13</f>
        <v>6648187.33820068</v>
      </c>
      <c r="E23" s="56" t="n">
        <f aca="false">E22*$C$13</f>
        <v>6577974.4004132</v>
      </c>
      <c r="F23" s="56" t="n">
        <f aca="false">F22*$C$13</f>
        <v>6479015.67726123</v>
      </c>
      <c r="G23" s="56" t="n">
        <f aca="false">G22*$C$13</f>
        <v>6373062.90235388</v>
      </c>
      <c r="H23" s="56" t="n">
        <f aca="false">H22*$C$13</f>
        <v>6242091.1504177</v>
      </c>
      <c r="I23" s="56" t="n">
        <f aca="false">I22*$C$13</f>
        <v>6102631.99809063</v>
      </c>
      <c r="J23" s="56" t="n">
        <f aca="false">J22*$C$13</f>
        <v>5954381.72684413</v>
      </c>
      <c r="K23" s="56" t="n">
        <f aca="false">K22*$C$13</f>
        <v>5796912.28411036</v>
      </c>
      <c r="L23" s="56" t="n">
        <f aca="false">L22*$C$13</f>
        <v>5629872.90530066</v>
      </c>
      <c r="M23" s="56" t="n">
        <f aca="false">M22*$C$13</f>
        <v>5452822.72114184</v>
      </c>
      <c r="N23" s="56" t="n">
        <f aca="false">N22*$C$13</f>
        <v>5265399.89165175</v>
      </c>
      <c r="O23" s="56" t="n">
        <f aca="false">O22*$C$13</f>
        <v>5067111.84024626</v>
      </c>
      <c r="P23" s="56" t="n">
        <f aca="false">P22*$C$13</f>
        <v>4857564.08533945</v>
      </c>
      <c r="Q23" s="56" t="n">
        <f aca="false">Q22*$C$13</f>
        <v>4636228.01372992</v>
      </c>
      <c r="R23" s="56" t="n">
        <f aca="false">R22*$C$13</f>
        <v>4402673.84942053</v>
      </c>
      <c r="S23" s="56" t="n">
        <f aca="false">S22*$C$13</f>
        <v>4156334.14751371</v>
      </c>
      <c r="T23" s="56" t="n">
        <f aca="false">T22*$C$13</f>
        <v>3896720.39614643</v>
      </c>
      <c r="U23" s="56" t="n">
        <f aca="false">U22*$C$13</f>
        <v>3623242.89547558</v>
      </c>
      <c r="V23" s="56" t="n">
        <f aca="false">V22*$C$13</f>
        <v>3335392.42492481</v>
      </c>
      <c r="W23" s="56" t="n">
        <f aca="false">W22*$C$13</f>
        <v>3032514.54964868</v>
      </c>
      <c r="X23" s="56" t="n">
        <f aca="false">X22*$C$13</f>
        <v>2714055.4593284</v>
      </c>
      <c r="Y23" s="56" t="n">
        <f aca="false">Y22*$C$13</f>
        <v>2379312.10883659</v>
      </c>
      <c r="Z23" s="56" t="n">
        <f aca="false">Z22*$C$13</f>
        <v>2107693.30450314</v>
      </c>
      <c r="AA23" s="56" t="n">
        <f aca="false">AA22*$C$13</f>
        <v>1822537.23022513</v>
      </c>
      <c r="AB23" s="56" t="n">
        <f aca="false">AB22*$C$13</f>
        <v>1554271.05358715</v>
      </c>
      <c r="AC23" s="56" t="n">
        <f aca="false">AC22*$C$13</f>
        <v>1272542.30213546</v>
      </c>
      <c r="AD23" s="56" t="n">
        <f aca="false">AD22*$C$13</f>
        <v>976851.849219563</v>
      </c>
      <c r="AE23" s="56" t="n">
        <f aca="false">AE22*$C$13</f>
        <v>666580.03862363</v>
      </c>
      <c r="AF23" s="56" t="n">
        <f aca="false">AF22*$C$13</f>
        <v>341184.795423087</v>
      </c>
    </row>
    <row r="24" customFormat="false" ht="15" hidden="false" customHeight="true" outlineLevel="0" collapsed="false">
      <c r="B24" s="47" t="s">
        <v>203</v>
      </c>
      <c r="C24" s="56" t="n">
        <f aca="false">C10/$C$14</f>
        <v>8386498.59259259</v>
      </c>
      <c r="D24" s="56" t="n">
        <f aca="false">D10/$C$14</f>
        <v>8460134.11981307</v>
      </c>
      <c r="E24" s="56" t="n">
        <f aca="false">E10/$C$14</f>
        <v>9131747.90110929</v>
      </c>
      <c r="F24" s="56" t="n">
        <f aca="false">F10/$C$14</f>
        <v>9213280.83616057</v>
      </c>
      <c r="G24" s="56" t="n">
        <f aca="false">G10/$C$14</f>
        <v>9752979.08135206</v>
      </c>
      <c r="H24" s="56" t="n">
        <f aca="false">H10/$C$14</f>
        <v>9841037.01692276</v>
      </c>
      <c r="I24" s="56" t="n">
        <f aca="false">I10/$C$14</f>
        <v>9928445.44961325</v>
      </c>
      <c r="J24" s="56" t="n">
        <f aca="false">J10/$C$14</f>
        <v>10018109.2812638</v>
      </c>
      <c r="K24" s="56" t="n">
        <f aca="false">K10/$C$14</f>
        <v>10107605.9308123</v>
      </c>
      <c r="L24" s="56" t="n">
        <f aca="false">L10/$C$14</f>
        <v>10198909.9158511</v>
      </c>
      <c r="M24" s="56" t="n">
        <f aca="false">M10/$C$14</f>
        <v>10289540.9015312</v>
      </c>
      <c r="N24" s="56" t="n">
        <f aca="false">N10/$C$14</f>
        <v>10382510.8956645</v>
      </c>
      <c r="O24" s="56" t="n">
        <f aca="false">O10/$C$14</f>
        <v>10474795.8378413</v>
      </c>
      <c r="P24" s="56" t="n">
        <f aca="false">P10/$C$14</f>
        <v>10569462.7075209</v>
      </c>
      <c r="Q24" s="56" t="n">
        <f aca="false">Q10/$C$14</f>
        <v>10663432.2539721</v>
      </c>
      <c r="R24" s="56" t="n">
        <f aca="false">R10/$C$14</f>
        <v>10759827.4470159</v>
      </c>
      <c r="S24" s="56" t="n">
        <f aca="false">S10/$C$14</f>
        <v>10856043.8602177</v>
      </c>
      <c r="T24" s="56" t="n">
        <f aca="false">T10/$C$14</f>
        <v>10954204.2844266</v>
      </c>
      <c r="U24" s="56" t="n">
        <f aca="false">U10/$C$14</f>
        <v>11051642.1354953</v>
      </c>
      <c r="V24" s="56" t="n">
        <f aca="false">V10/$C$14</f>
        <v>11151595.6578574</v>
      </c>
      <c r="W24" s="56" t="n">
        <f aca="false">W10/$C$14</f>
        <v>11250813.6546879</v>
      </c>
      <c r="X24" s="56" t="n">
        <f aca="false">X10/$C$14</f>
        <v>11352593.5365366</v>
      </c>
      <c r="Y24" s="56" t="n">
        <f aca="false">Y10/$C$14</f>
        <v>9388829.64002228</v>
      </c>
      <c r="Z24" s="56" t="n">
        <f aca="false">Z10/$C$14</f>
        <v>9466559.73748406</v>
      </c>
      <c r="AA24" s="56" t="n">
        <f aca="false">AA10/$C$14</f>
        <v>8745535.3370117</v>
      </c>
      <c r="AB24" s="56" t="n">
        <f aca="false">AB10/$C$14</f>
        <v>8824690.44588879</v>
      </c>
      <c r="AC24" s="56" t="n">
        <f aca="false">AC10/$C$14</f>
        <v>8903263.66770707</v>
      </c>
      <c r="AD24" s="56" t="n">
        <f aca="false">AD10/$C$14</f>
        <v>8983866.31621136</v>
      </c>
      <c r="AE24" s="56" t="n">
        <f aca="false">AE10/$C$14</f>
        <v>9063876.63734734</v>
      </c>
      <c r="AF24" s="56" t="n">
        <f aca="false">AF10/$C$14</f>
        <v>9145953.70956763</v>
      </c>
    </row>
    <row r="25" customFormat="false" ht="15" hidden="false" customHeight="true" outlineLevel="0" collapsed="false">
      <c r="B25" s="47" t="s">
        <v>204</v>
      </c>
      <c r="C25" s="56" t="n">
        <f aca="false">MIN(C22,MAX(0,C24-C23))</f>
        <v>1673464.50482976</v>
      </c>
      <c r="D25" s="56" t="n">
        <f aca="false">MIN(D22,MAX(0,D24-D23))</f>
        <v>1811946.78161239</v>
      </c>
      <c r="E25" s="56" t="n">
        <f aca="false">MIN(E22,MAX(0,E24-E23))</f>
        <v>2553773.50069609</v>
      </c>
      <c r="F25" s="56" t="n">
        <f aca="false">MIN(F22,MAX(0,F24-F23))</f>
        <v>2734265.15889935</v>
      </c>
      <c r="G25" s="56" t="n">
        <f aca="false">MIN(G22,MAX(0,G24-G23))</f>
        <v>3379916.17899818</v>
      </c>
      <c r="H25" s="56" t="n">
        <f aca="false">MIN(H22,MAX(0,H24-H23))</f>
        <v>3598945.86650506</v>
      </c>
      <c r="I25" s="56" t="n">
        <f aca="false">MIN(I22,MAX(0,I24-I23))</f>
        <v>3825813.45152263</v>
      </c>
      <c r="J25" s="56" t="n">
        <f aca="false">MIN(J22,MAX(0,J24-J23))</f>
        <v>4063727.55441971</v>
      </c>
      <c r="K25" s="56" t="n">
        <f aca="false">MIN(K22,MAX(0,K24-K23))</f>
        <v>4310693.64670189</v>
      </c>
      <c r="L25" s="56" t="n">
        <f aca="false">MIN(L22,MAX(0,L24-L23))</f>
        <v>4569037.0105504</v>
      </c>
      <c r="M25" s="56" t="n">
        <f aca="false">MIN(M22,MAX(0,M24-M23))</f>
        <v>4836718.18038932</v>
      </c>
      <c r="N25" s="56" t="n">
        <f aca="false">MIN(N22,MAX(0,N24-N23))</f>
        <v>5117111.00401276</v>
      </c>
      <c r="O25" s="56" t="n">
        <f aca="false">MIN(O22,MAX(0,O24-O23))</f>
        <v>5407683.99759503</v>
      </c>
      <c r="P25" s="56" t="n">
        <f aca="false">MIN(P22,MAX(0,P24-P23))</f>
        <v>5711898.62218143</v>
      </c>
      <c r="Q25" s="56" t="n">
        <f aca="false">MIN(Q22,MAX(0,Q24-Q23))</f>
        <v>6027204.24024216</v>
      </c>
      <c r="R25" s="56" t="n">
        <f aca="false">MIN(R22,MAX(0,R24-R23))</f>
        <v>6357153.59759533</v>
      </c>
      <c r="S25" s="56" t="n">
        <f aca="false">MIN(S22,MAX(0,S24-S23))</f>
        <v>6699709.71270402</v>
      </c>
      <c r="T25" s="56" t="n">
        <f aca="false">MIN(T22,MAX(0,T24-T23))</f>
        <v>7057483.88828018</v>
      </c>
      <c r="U25" s="56" t="n">
        <f aca="false">MIN(U22,MAX(0,U24-U23))</f>
        <v>7428399.24001973</v>
      </c>
      <c r="V25" s="56" t="n">
        <f aca="false">MIN(V22,MAX(0,V24-V23))</f>
        <v>7816203.23293255</v>
      </c>
      <c r="W25" s="56" t="n">
        <f aca="false">MIN(W22,MAX(0,W24-W23))</f>
        <v>8218299.10503926</v>
      </c>
      <c r="X25" s="56" t="n">
        <f aca="false">MIN(X22,MAX(0,X24-X23))</f>
        <v>8638538.07720819</v>
      </c>
      <c r="Y25" s="56" t="n">
        <f aca="false">MIN(Y22,MAX(0,Y24-Y23))</f>
        <v>7009517.5311857</v>
      </c>
      <c r="Z25" s="56" t="n">
        <f aca="false">MIN(Z22,MAX(0,Z24-Z23))</f>
        <v>7358866.43298092</v>
      </c>
      <c r="AA25" s="56" t="n">
        <f aca="false">MIN(AA22,MAX(0,AA24-AA23))</f>
        <v>6922998.10678657</v>
      </c>
      <c r="AB25" s="56" t="n">
        <f aca="false">MIN(AB22,MAX(0,AB24-AB23))</f>
        <v>7270419.39230164</v>
      </c>
      <c r="AC25" s="56" t="n">
        <f aca="false">MIN(AC22,MAX(0,AC24-AC23))</f>
        <v>7630721.3655716</v>
      </c>
      <c r="AD25" s="56" t="n">
        <f aca="false">MIN(AD22,MAX(0,AD24-AD23))</f>
        <v>8007014.4669918</v>
      </c>
      <c r="AE25" s="56" t="n">
        <f aca="false">MIN(AE22,MAX(0,AE24-AE23))</f>
        <v>8397296.59872371</v>
      </c>
      <c r="AF25" s="56" t="n">
        <f aca="false">AF22</f>
        <v>8804768.91414417</v>
      </c>
    </row>
    <row r="26" customFormat="false" ht="15" hidden="false" customHeight="true" outlineLevel="0" collapsed="false">
      <c r="B26" s="45" t="s">
        <v>205</v>
      </c>
      <c r="C26" s="71" t="n">
        <f aca="false">C23+C25</f>
        <v>8386498.59259259</v>
      </c>
      <c r="D26" s="71" t="n">
        <f aca="false">D23+D25</f>
        <v>8460134.11981307</v>
      </c>
      <c r="E26" s="71" t="n">
        <f aca="false">E23+E25</f>
        <v>9131747.90110929</v>
      </c>
      <c r="F26" s="71" t="n">
        <f aca="false">F23+F25</f>
        <v>9213280.83616057</v>
      </c>
      <c r="G26" s="71" t="n">
        <f aca="false">G23+G25</f>
        <v>9752979.08135206</v>
      </c>
      <c r="H26" s="71" t="n">
        <f aca="false">H23+H25</f>
        <v>9841037.01692276</v>
      </c>
      <c r="I26" s="71" t="n">
        <f aca="false">I23+I25</f>
        <v>9928445.44961325</v>
      </c>
      <c r="J26" s="71" t="n">
        <f aca="false">J23+J25</f>
        <v>10018109.2812638</v>
      </c>
      <c r="K26" s="71" t="n">
        <f aca="false">K23+K25</f>
        <v>10107605.9308123</v>
      </c>
      <c r="L26" s="71" t="n">
        <f aca="false">L23+L25</f>
        <v>10198909.9158511</v>
      </c>
      <c r="M26" s="71" t="n">
        <f aca="false">M23+M25</f>
        <v>10289540.9015312</v>
      </c>
      <c r="N26" s="71" t="n">
        <f aca="false">N23+N25</f>
        <v>10382510.8956645</v>
      </c>
      <c r="O26" s="71" t="n">
        <f aca="false">O23+O25</f>
        <v>10474795.8378413</v>
      </c>
      <c r="P26" s="71" t="n">
        <f aca="false">P23+P25</f>
        <v>10569462.7075209</v>
      </c>
      <c r="Q26" s="71" t="n">
        <f aca="false">Q23+Q25</f>
        <v>10663432.2539721</v>
      </c>
      <c r="R26" s="71" t="n">
        <f aca="false">R23+R25</f>
        <v>10759827.4470159</v>
      </c>
      <c r="S26" s="71" t="n">
        <f aca="false">S23+S25</f>
        <v>10856043.8602177</v>
      </c>
      <c r="T26" s="71" t="n">
        <f aca="false">T23+T25</f>
        <v>10954204.2844266</v>
      </c>
      <c r="U26" s="71" t="n">
        <f aca="false">U23+U25</f>
        <v>11051642.1354953</v>
      </c>
      <c r="V26" s="71" t="n">
        <f aca="false">V23+V25</f>
        <v>11151595.6578574</v>
      </c>
      <c r="W26" s="71" t="n">
        <f aca="false">W23+W25</f>
        <v>11250813.6546879</v>
      </c>
      <c r="X26" s="71" t="n">
        <f aca="false">X23+X25</f>
        <v>11352593.5365366</v>
      </c>
      <c r="Y26" s="71" t="n">
        <f aca="false">Y23+Y25</f>
        <v>9388829.64002228</v>
      </c>
      <c r="Z26" s="71" t="n">
        <f aca="false">Z23+Z25</f>
        <v>9466559.73748406</v>
      </c>
      <c r="AA26" s="71" t="n">
        <f aca="false">AA23+AA25</f>
        <v>8745535.3370117</v>
      </c>
      <c r="AB26" s="71" t="n">
        <f aca="false">AB23+AB25</f>
        <v>8824690.44588879</v>
      </c>
      <c r="AC26" s="71" t="n">
        <f aca="false">AC23+AC25</f>
        <v>8903263.66770707</v>
      </c>
      <c r="AD26" s="71" t="n">
        <f aca="false">AD23+AD25</f>
        <v>8983866.31621136</v>
      </c>
      <c r="AE26" s="71" t="n">
        <f aca="false">AE23+AE25</f>
        <v>9063876.63734734</v>
      </c>
      <c r="AF26" s="71" t="n">
        <f aca="false">AF23+AF25</f>
        <v>9145953.70956726</v>
      </c>
    </row>
    <row r="27" customFormat="false" ht="15" hidden="false" customHeight="true" outlineLevel="0" collapsed="false">
      <c r="B27" s="47" t="s">
        <v>206</v>
      </c>
      <c r="C27" s="56" t="n">
        <f aca="false">C22-C25</f>
        <v>171566124.856792</v>
      </c>
      <c r="D27" s="56" t="n">
        <f aca="false">D22-D25</f>
        <v>169754178.075179</v>
      </c>
      <c r="E27" s="56" t="n">
        <f aca="false">E22-E25</f>
        <v>167200404.574483</v>
      </c>
      <c r="F27" s="56" t="n">
        <f aca="false">F22-F25</f>
        <v>164466139.415584</v>
      </c>
      <c r="G27" s="56" t="n">
        <f aca="false">G22-G25</f>
        <v>161086223.236586</v>
      </c>
      <c r="H27" s="56" t="n">
        <f aca="false">H22-H25</f>
        <v>157487277.370081</v>
      </c>
      <c r="I27" s="56" t="n">
        <f aca="false">I22-I25</f>
        <v>153661463.918558</v>
      </c>
      <c r="J27" s="56" t="n">
        <f aca="false">J22-J25</f>
        <v>149597736.364138</v>
      </c>
      <c r="K27" s="56" t="n">
        <f aca="false">K22-K25</f>
        <v>145287042.717437</v>
      </c>
      <c r="L27" s="56" t="n">
        <f aca="false">L22-L25</f>
        <v>140718005.706886</v>
      </c>
      <c r="M27" s="56" t="n">
        <f aca="false">M22-M25</f>
        <v>135881287.526497</v>
      </c>
      <c r="N27" s="56" t="n">
        <f aca="false">N22-N25</f>
        <v>130764176.522484</v>
      </c>
      <c r="O27" s="56" t="n">
        <f aca="false">O22-O25</f>
        <v>125356492.524889</v>
      </c>
      <c r="P27" s="56" t="n">
        <f aca="false">P22-P25</f>
        <v>119644593.902708</v>
      </c>
      <c r="Q27" s="56" t="n">
        <f aca="false">Q22-Q25</f>
        <v>113617389.662465</v>
      </c>
      <c r="R27" s="56" t="n">
        <f aca="false">R22-R25</f>
        <v>107260236.06487</v>
      </c>
      <c r="S27" s="56" t="n">
        <f aca="false">S22-S25</f>
        <v>100560526.352166</v>
      </c>
      <c r="T27" s="56" t="n">
        <f aca="false">T22-T25</f>
        <v>93503042.4638859</v>
      </c>
      <c r="U27" s="56" t="n">
        <f aca="false">U22-U25</f>
        <v>86074643.2238661</v>
      </c>
      <c r="V27" s="56" t="n">
        <f aca="false">V22-V25</f>
        <v>78258439.9909336</v>
      </c>
      <c r="W27" s="56" t="n">
        <f aca="false">W22-W25</f>
        <v>70040140.8858943</v>
      </c>
      <c r="X27" s="56" t="n">
        <f aca="false">X22-X25</f>
        <v>61401602.8086861</v>
      </c>
      <c r="Y27" s="56" t="n">
        <f aca="false">Y22-Y25</f>
        <v>54392085.2775004</v>
      </c>
      <c r="Z27" s="56" t="n">
        <f aca="false">Z22-Z25</f>
        <v>47033218.8445195</v>
      </c>
      <c r="AA27" s="56" t="n">
        <f aca="false">AA22-AA25</f>
        <v>40110220.7377329</v>
      </c>
      <c r="AB27" s="56" t="n">
        <f aca="false">AB22-AB25</f>
        <v>32839801.3454313</v>
      </c>
      <c r="AC27" s="56" t="n">
        <f aca="false">AC22-AC25</f>
        <v>25209079.9798597</v>
      </c>
      <c r="AD27" s="56" t="n">
        <f aca="false">AD22-AD25</f>
        <v>17202065.5128679</v>
      </c>
      <c r="AE27" s="56" t="n">
        <f aca="false">AE22-AE25</f>
        <v>8804768.91414417</v>
      </c>
      <c r="AF27" s="56" t="n">
        <f aca="false">AF22-AF25</f>
        <v>0</v>
      </c>
    </row>
    <row r="28" customFormat="false" ht="15" hidden="false" customHeight="true" outlineLevel="0" collapsed="false">
      <c r="B28" s="45" t="s">
        <v>207</v>
      </c>
      <c r="C28" s="72" t="n">
        <f aca="false">IF(C26=0,"n/a",C10/C26)</f>
        <v>1.35</v>
      </c>
      <c r="D28" s="72" t="n">
        <f aca="false">IF(D26=0,"n/a",D10/D26)</f>
        <v>1.35</v>
      </c>
      <c r="E28" s="72" t="n">
        <f aca="false">IF(E26=0,"n/a",E10/E26)</f>
        <v>1.35</v>
      </c>
      <c r="F28" s="72" t="n">
        <f aca="false">IF(F26=0,"n/a",F10/F26)</f>
        <v>1.35</v>
      </c>
      <c r="G28" s="72" t="n">
        <f aca="false">IF(G26=0,"n/a",G10/G26)</f>
        <v>1.35</v>
      </c>
      <c r="H28" s="72" t="n">
        <f aca="false">IF(H26=0,"n/a",H10/H26)</f>
        <v>1.35</v>
      </c>
      <c r="I28" s="72" t="n">
        <f aca="false">IF(I26=0,"n/a",I10/I26)</f>
        <v>1.35</v>
      </c>
      <c r="J28" s="72" t="n">
        <f aca="false">IF(J26=0,"n/a",J10/J26)</f>
        <v>1.35</v>
      </c>
      <c r="K28" s="72" t="n">
        <f aca="false">IF(K26=0,"n/a",K10/K26)</f>
        <v>1.35</v>
      </c>
      <c r="L28" s="72" t="n">
        <f aca="false">IF(L26=0,"n/a",L10/L26)</f>
        <v>1.35</v>
      </c>
      <c r="M28" s="72" t="n">
        <f aca="false">IF(M26=0,"n/a",M10/M26)</f>
        <v>1.35</v>
      </c>
      <c r="N28" s="72" t="n">
        <f aca="false">IF(N26=0,"n/a",N10/N26)</f>
        <v>1.35</v>
      </c>
      <c r="O28" s="72" t="n">
        <f aca="false">IF(O26=0,"n/a",O10/O26)</f>
        <v>1.35</v>
      </c>
      <c r="P28" s="72" t="n">
        <f aca="false">IF(P26=0,"n/a",P10/P26)</f>
        <v>1.35</v>
      </c>
      <c r="Q28" s="72" t="n">
        <f aca="false">IF(Q26=0,"n/a",Q10/Q26)</f>
        <v>1.35</v>
      </c>
      <c r="R28" s="72" t="n">
        <f aca="false">IF(R26=0,"n/a",R10/R26)</f>
        <v>1.35</v>
      </c>
      <c r="S28" s="72" t="n">
        <f aca="false">IF(S26=0,"n/a",S10/S26)</f>
        <v>1.35</v>
      </c>
      <c r="T28" s="72" t="n">
        <f aca="false">IF(T26=0,"n/a",T10/T26)</f>
        <v>1.35</v>
      </c>
      <c r="U28" s="72" t="n">
        <f aca="false">IF(U26=0,"n/a",U10/U26)</f>
        <v>1.35</v>
      </c>
      <c r="V28" s="72" t="n">
        <f aca="false">IF(V26=0,"n/a",V10/V26)</f>
        <v>1.35</v>
      </c>
      <c r="W28" s="72" t="n">
        <f aca="false">IF(W26=0,"n/a",W10/W26)</f>
        <v>1.35</v>
      </c>
      <c r="X28" s="72" t="n">
        <f aca="false">IF(X26=0,"n/a",X10/X26)</f>
        <v>1.35</v>
      </c>
      <c r="Y28" s="72" t="n">
        <f aca="false">IF(Y26=0,"n/a",Y10/Y26)</f>
        <v>1.35</v>
      </c>
      <c r="Z28" s="72" t="n">
        <f aca="false">IF(Z26=0,"n/a",Z10/Z26)</f>
        <v>1.35</v>
      </c>
      <c r="AA28" s="72" t="n">
        <f aca="false">IF(AA26=0,"n/a",AA10/AA26)</f>
        <v>1.35</v>
      </c>
      <c r="AB28" s="72" t="n">
        <f aca="false">IF(AB26=0,"n/a",AB10/AB26)</f>
        <v>1.35</v>
      </c>
      <c r="AC28" s="72" t="n">
        <f aca="false">IF(AC26=0,"n/a",AC10/AC26)</f>
        <v>1.35</v>
      </c>
      <c r="AD28" s="72" t="n">
        <f aca="false">IF(AD26=0,"n/a",AD10/AD26)</f>
        <v>1.35</v>
      </c>
      <c r="AE28" s="72" t="n">
        <f aca="false">IF(AE26=0,"n/a",AE10/AE26)</f>
        <v>1.35</v>
      </c>
      <c r="AF28" s="72" t="n">
        <f aca="false">IF(AF26=0,"n/a",AF10/AF26)</f>
        <v>1.35000000000006</v>
      </c>
    </row>
    <row r="31" customFormat="false" ht="15" hidden="false" customHeight="true" outlineLevel="0" collapsed="false">
      <c r="B31" s="45" t="s">
        <v>208</v>
      </c>
      <c r="C31" s="45" t="str">
        <f aca="false">IF(ABS(AF27)&lt;1,"OK","ERROR")</f>
        <v>OK</v>
      </c>
    </row>
    <row r="32" customFormat="false" ht="15" hidden="false" customHeight="true" outlineLevel="0" collapsed="false">
      <c r="B32" s="45" t="s">
        <v>209</v>
      </c>
      <c r="C32" s="45" t="str">
        <f aca="false">IF(MIN(C28:AF28)&gt;=C14-0.001,"OK","ERROR")</f>
        <v>OK</v>
      </c>
    </row>
    <row r="34" customFormat="false" ht="15" hidden="false" customHeight="true" outlineLevel="0" collapsed="false">
      <c r="A34" s="9" t="s">
        <v>210</v>
      </c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  <c r="AF34" s="9"/>
    </row>
    <row r="35" customFormat="false" ht="15" hidden="false" customHeight="true" outlineLevel="0" collapsed="false">
      <c r="B35" s="47" t="s">
        <v>211</v>
      </c>
      <c r="C35" s="56" t="n">
        <f aca="false">D26*(Assumptions!$F$42/6)</f>
        <v>8460134.11981307</v>
      </c>
      <c r="D35" s="56" t="n">
        <f aca="false">E26*(Assumptions!$F$42/6)</f>
        <v>9131747.90110929</v>
      </c>
      <c r="E35" s="56" t="n">
        <f aca="false">F26*(Assumptions!$F$42/6)</f>
        <v>9213280.83616057</v>
      </c>
      <c r="F35" s="56" t="n">
        <f aca="false">G26*(Assumptions!$F$42/6)</f>
        <v>9752979.08135206</v>
      </c>
      <c r="G35" s="56" t="n">
        <f aca="false">H26*(Assumptions!$F$42/6)</f>
        <v>9841037.01692276</v>
      </c>
      <c r="H35" s="56" t="n">
        <f aca="false">I26*(Assumptions!$F$42/6)</f>
        <v>9928445.44961325</v>
      </c>
      <c r="I35" s="56" t="n">
        <f aca="false">J26*(Assumptions!$F$42/6)</f>
        <v>10018109.2812638</v>
      </c>
      <c r="J35" s="56" t="n">
        <f aca="false">K26*(Assumptions!$F$42/6)</f>
        <v>10107605.9308123</v>
      </c>
      <c r="K35" s="56" t="n">
        <f aca="false">L26*(Assumptions!$F$42/6)</f>
        <v>10198909.9158511</v>
      </c>
      <c r="L35" s="56" t="n">
        <f aca="false">M26*(Assumptions!$F$42/6)</f>
        <v>10289540.9015312</v>
      </c>
      <c r="M35" s="56" t="n">
        <f aca="false">N26*(Assumptions!$F$42/6)</f>
        <v>10382510.8956645</v>
      </c>
      <c r="N35" s="56" t="n">
        <f aca="false">O26*(Assumptions!$F$42/6)</f>
        <v>10474795.8378413</v>
      </c>
      <c r="O35" s="56" t="n">
        <f aca="false">P26*(Assumptions!$F$42/6)</f>
        <v>10569462.7075209</v>
      </c>
      <c r="P35" s="56" t="n">
        <f aca="false">Q26*(Assumptions!$F$42/6)</f>
        <v>10663432.2539721</v>
      </c>
      <c r="Q35" s="56" t="n">
        <f aca="false">R26*(Assumptions!$F$42/6)</f>
        <v>10759827.4470159</v>
      </c>
      <c r="R35" s="56" t="n">
        <f aca="false">S26*(Assumptions!$F$42/6)</f>
        <v>10856043.8602177</v>
      </c>
      <c r="S35" s="56" t="n">
        <f aca="false">T26*(Assumptions!$F$42/6)</f>
        <v>10954204.2844266</v>
      </c>
      <c r="T35" s="56" t="n">
        <f aca="false">U26*(Assumptions!$F$42/6)</f>
        <v>11051642.1354953</v>
      </c>
      <c r="U35" s="56" t="n">
        <f aca="false">V26*(Assumptions!$F$42/6)</f>
        <v>11151595.6578574</v>
      </c>
      <c r="V35" s="56" t="n">
        <f aca="false">W26*(Assumptions!$F$42/6)</f>
        <v>11250813.6546879</v>
      </c>
      <c r="W35" s="56" t="n">
        <f aca="false">X26*(Assumptions!$F$42/6)</f>
        <v>11352593.5365366</v>
      </c>
      <c r="X35" s="56" t="n">
        <f aca="false">Y26*(Assumptions!$F$42/6)</f>
        <v>9388829.64002228</v>
      </c>
      <c r="Y35" s="56" t="n">
        <f aca="false">Z26*(Assumptions!$F$42/6)</f>
        <v>9466559.73748406</v>
      </c>
      <c r="Z35" s="56" t="n">
        <f aca="false">AA26*(Assumptions!$F$42/6)</f>
        <v>8745535.3370117</v>
      </c>
      <c r="AA35" s="56" t="n">
        <f aca="false">AB26*(Assumptions!$F$42/6)</f>
        <v>8824690.44588879</v>
      </c>
      <c r="AB35" s="56" t="n">
        <f aca="false">AC26*(Assumptions!$F$42/6)</f>
        <v>8903263.66770707</v>
      </c>
      <c r="AC35" s="56" t="n">
        <f aca="false">AD26*(Assumptions!$F$42/6)</f>
        <v>8983866.31621136</v>
      </c>
      <c r="AD35" s="56" t="n">
        <f aca="false">AE26*(Assumptions!$F$42/6)</f>
        <v>9063876.63734734</v>
      </c>
      <c r="AE35" s="56" t="n">
        <f aca="false">AF26*(Assumptions!$F$42/6)</f>
        <v>9145953.70956726</v>
      </c>
      <c r="AF35" s="56" t="n">
        <f aca="false">0</f>
        <v>0</v>
      </c>
    </row>
    <row r="36" customFormat="false" ht="15" hidden="false" customHeight="true" outlineLevel="0" collapsed="false">
      <c r="B36" s="16" t="s">
        <v>212</v>
      </c>
      <c r="C36" s="73" t="n">
        <f aca="false">C35</f>
        <v>8460134.11981307</v>
      </c>
    </row>
  </sheetData>
  <mergeCells count="5">
    <mergeCell ref="B1:F1"/>
    <mergeCell ref="A3:AF3"/>
    <mergeCell ref="A12:H12"/>
    <mergeCell ref="A21:AF21"/>
    <mergeCell ref="A34:AF3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28B22"/>
    <pageSetUpPr fitToPage="false"/>
  </sheetPr>
  <dimension ref="A1:AF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42"/>
    <col collapsed="false" customWidth="true" hidden="false" outlineLevel="0" max="32" min="3" style="1" width="11"/>
  </cols>
  <sheetData>
    <row r="1" customFormat="false" ht="15.75" hidden="false" customHeight="true" outlineLevel="0" collapsed="false">
      <c r="B1" s="44" t="s">
        <v>213</v>
      </c>
      <c r="C1" s="44"/>
      <c r="D1" s="44"/>
      <c r="E1" s="44"/>
      <c r="F1" s="44"/>
    </row>
    <row r="3" customFormat="false" ht="15" hidden="false" customHeight="true" outlineLevel="0" collapsed="false">
      <c r="B3" s="45" t="s">
        <v>117</v>
      </c>
      <c r="C3" s="46" t="n">
        <f aca="false">'Timing &amp; Calendar'!C$10</f>
        <v>1</v>
      </c>
      <c r="D3" s="46" t="n">
        <f aca="false">'Timing &amp; Calendar'!D$10</f>
        <v>2</v>
      </c>
      <c r="E3" s="46" t="n">
        <f aca="false">'Timing &amp; Calendar'!E$10</f>
        <v>3</v>
      </c>
      <c r="F3" s="46" t="n">
        <f aca="false">'Timing &amp; Calendar'!F$10</f>
        <v>4</v>
      </c>
      <c r="G3" s="46" t="n">
        <f aca="false">'Timing &amp; Calendar'!G$10</f>
        <v>5</v>
      </c>
      <c r="H3" s="46" t="n">
        <f aca="false">'Timing &amp; Calendar'!H$10</f>
        <v>6</v>
      </c>
      <c r="I3" s="46" t="n">
        <f aca="false">'Timing &amp; Calendar'!I$10</f>
        <v>7</v>
      </c>
      <c r="J3" s="46" t="n">
        <f aca="false">'Timing &amp; Calendar'!J$10</f>
        <v>8</v>
      </c>
      <c r="K3" s="46" t="n">
        <f aca="false">'Timing &amp; Calendar'!K$10</f>
        <v>9</v>
      </c>
      <c r="L3" s="46" t="n">
        <f aca="false">'Timing &amp; Calendar'!L$10</f>
        <v>10</v>
      </c>
      <c r="M3" s="46" t="n">
        <f aca="false">'Timing &amp; Calendar'!M$10</f>
        <v>11</v>
      </c>
      <c r="N3" s="46" t="n">
        <f aca="false">'Timing &amp; Calendar'!N$10</f>
        <v>12</v>
      </c>
      <c r="O3" s="46" t="n">
        <f aca="false">'Timing &amp; Calendar'!O$10</f>
        <v>13</v>
      </c>
      <c r="P3" s="46" t="n">
        <f aca="false">'Timing &amp; Calendar'!P$10</f>
        <v>14</v>
      </c>
      <c r="Q3" s="46" t="n">
        <f aca="false">'Timing &amp; Calendar'!Q$10</f>
        <v>15</v>
      </c>
      <c r="R3" s="46" t="n">
        <f aca="false">'Timing &amp; Calendar'!R$10</f>
        <v>16</v>
      </c>
      <c r="S3" s="46" t="n">
        <f aca="false">'Timing &amp; Calendar'!S$10</f>
        <v>17</v>
      </c>
      <c r="T3" s="46" t="n">
        <f aca="false">'Timing &amp; Calendar'!T$10</f>
        <v>18</v>
      </c>
      <c r="U3" s="46" t="n">
        <f aca="false">'Timing &amp; Calendar'!U$10</f>
        <v>19</v>
      </c>
      <c r="V3" s="46" t="n">
        <f aca="false">'Timing &amp; Calendar'!V$10</f>
        <v>20</v>
      </c>
      <c r="W3" s="46" t="n">
        <f aca="false">'Timing &amp; Calendar'!W$10</f>
        <v>21</v>
      </c>
      <c r="X3" s="46" t="n">
        <f aca="false">'Timing &amp; Calendar'!X$10</f>
        <v>22</v>
      </c>
      <c r="Y3" s="46" t="n">
        <f aca="false">'Timing &amp; Calendar'!Y$10</f>
        <v>23</v>
      </c>
      <c r="Z3" s="46" t="n">
        <f aca="false">'Timing &amp; Calendar'!Z$10</f>
        <v>24</v>
      </c>
      <c r="AA3" s="46" t="n">
        <f aca="false">'Timing &amp; Calendar'!AA$10</f>
        <v>25</v>
      </c>
      <c r="AB3" s="46" t="n">
        <f aca="false">'Timing &amp; Calendar'!AB$10</f>
        <v>26</v>
      </c>
      <c r="AC3" s="46" t="n">
        <f aca="false">'Timing &amp; Calendar'!AC$10</f>
        <v>27</v>
      </c>
      <c r="AD3" s="46" t="n">
        <f aca="false">'Timing &amp; Calendar'!AD$10</f>
        <v>28</v>
      </c>
      <c r="AE3" s="46" t="n">
        <f aca="false">'Timing &amp; Calendar'!AE$10</f>
        <v>29</v>
      </c>
      <c r="AF3" s="46" t="n">
        <f aca="false">'Timing &amp; Calendar'!AF$10</f>
        <v>30</v>
      </c>
    </row>
    <row r="5" customFormat="false" ht="15" hidden="false" customHeight="true" outlineLevel="0" collapsed="false">
      <c r="A5" s="9" t="s">
        <v>214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</row>
    <row r="6" customFormat="false" ht="15" hidden="false" customHeight="true" outlineLevel="0" collapsed="false">
      <c r="B6" s="47" t="s">
        <v>215</v>
      </c>
      <c r="C6" s="64" t="n">
        <f aca="false">Operations!C26</f>
        <v>22822837.5</v>
      </c>
      <c r="D6" s="64" t="n">
        <f aca="false">Operations!D26</f>
        <v>23074413.1409681</v>
      </c>
      <c r="E6" s="64" t="n">
        <f aca="false">Operations!E26</f>
        <v>30403727.7602503</v>
      </c>
      <c r="F6" s="64" t="n">
        <f aca="false">Operations!F26</f>
        <v>30738867.3895408</v>
      </c>
      <c r="G6" s="64" t="n">
        <f aca="false">Operations!G26</f>
        <v>36498223.3021899</v>
      </c>
      <c r="H6" s="64" t="n">
        <f aca="false">Operations!H26</f>
        <v>36900542.4231777</v>
      </c>
      <c r="I6" s="64" t="n">
        <f aca="false">Operations!I26</f>
        <v>37300628.6204723</v>
      </c>
      <c r="J6" s="64" t="n">
        <f aca="false">Operations!J26</f>
        <v>37711792.6378172</v>
      </c>
      <c r="K6" s="64" t="n">
        <f aca="false">Operations!K26</f>
        <v>38122945.9278213</v>
      </c>
      <c r="L6" s="64" t="n">
        <f aca="false">Operations!L26</f>
        <v>38543174.3309454</v>
      </c>
      <c r="M6" s="64" t="n">
        <f aca="false">Operations!M26</f>
        <v>38961070.4115202</v>
      </c>
      <c r="N6" s="64" t="n">
        <f aca="false">Operations!N26</f>
        <v>39390537.4425843</v>
      </c>
      <c r="O6" s="64" t="n">
        <f aca="false">Operations!O26</f>
        <v>39817620.8755069</v>
      </c>
      <c r="P6" s="64" t="n">
        <f aca="false">Operations!P26</f>
        <v>40256529.6436906</v>
      </c>
      <c r="Q6" s="64" t="n">
        <f aca="false">Operations!Q26</f>
        <v>40693002.4108579</v>
      </c>
      <c r="R6" s="64" t="n">
        <f aca="false">Operations!R26</f>
        <v>41141560.490651</v>
      </c>
      <c r="S6" s="64" t="n">
        <f aca="false">Operations!S26</f>
        <v>41590106.8674858</v>
      </c>
      <c r="T6" s="64" t="n">
        <f aca="false">Operations!T26</f>
        <v>42048553.7101766</v>
      </c>
      <c r="U6" s="64" t="n">
        <f aca="false">Operations!U26</f>
        <v>42504456.1129846</v>
      </c>
      <c r="V6" s="64" t="n">
        <f aca="false">Operations!V26</f>
        <v>42972981.8075055</v>
      </c>
      <c r="W6" s="64" t="n">
        <f aca="false">Operations!W26</f>
        <v>43438907.1231989</v>
      </c>
      <c r="X6" s="64" t="n">
        <f aca="false">Operations!X26</f>
        <v>43917733.2508648</v>
      </c>
      <c r="Y6" s="64" t="n">
        <f aca="false">Operations!Y26</f>
        <v>44393901.8309532</v>
      </c>
      <c r="Z6" s="64" t="n">
        <f aca="false">Operations!Z26</f>
        <v>44883254.844495</v>
      </c>
      <c r="AA6" s="64" t="n">
        <f aca="false">Operations!AA26</f>
        <v>45372595.0907315</v>
      </c>
      <c r="AB6" s="64" t="n">
        <f aca="false">Operations!AB26</f>
        <v>45872736.2187722</v>
      </c>
      <c r="AC6" s="64" t="n">
        <f aca="false">Operations!AC26</f>
        <v>46370101.4981979</v>
      </c>
      <c r="AD6" s="64" t="n">
        <f aca="false">Operations!AD26</f>
        <v>46881238.117655</v>
      </c>
      <c r="AE6" s="64" t="n">
        <f aca="false">Operations!AE26</f>
        <v>47389537.862083</v>
      </c>
      <c r="AF6" s="64" t="n">
        <f aca="false">Operations!AF26</f>
        <v>47911911.7063886</v>
      </c>
    </row>
    <row r="7" customFormat="false" ht="15" hidden="false" customHeight="true" outlineLevel="0" collapsed="false">
      <c r="B7" s="47" t="s">
        <v>216</v>
      </c>
      <c r="C7" s="64" t="n">
        <f aca="false">Operations!C33</f>
        <v>11501064.4</v>
      </c>
      <c r="D7" s="64" t="n">
        <f aca="false">Operations!D33</f>
        <v>11653232.0792205</v>
      </c>
      <c r="E7" s="64" t="n">
        <f aca="false">Operations!E33</f>
        <v>18075868.0937528</v>
      </c>
      <c r="F7" s="64" t="n">
        <f aca="false">Operations!F33</f>
        <v>18300938.260724</v>
      </c>
      <c r="G7" s="64" t="n">
        <f aca="false">Operations!G33</f>
        <v>23331701.5423646</v>
      </c>
      <c r="H7" s="64" t="n">
        <f aca="false">Operations!H33</f>
        <v>23615142.450332</v>
      </c>
      <c r="I7" s="64" t="n">
        <f aca="false">Operations!I33</f>
        <v>23897227.2634944</v>
      </c>
      <c r="J7" s="64" t="n">
        <f aca="false">Operations!J33</f>
        <v>24187345.108111</v>
      </c>
      <c r="K7" s="64" t="n">
        <f aca="false">Operations!K33</f>
        <v>24477677.9212248</v>
      </c>
      <c r="L7" s="64" t="n">
        <f aca="false">Operations!L33</f>
        <v>24774645.9445465</v>
      </c>
      <c r="M7" s="64" t="n">
        <f aca="false">Operations!M33</f>
        <v>25070190.1944532</v>
      </c>
      <c r="N7" s="64" t="n">
        <f aca="false">Operations!N33</f>
        <v>25374147.7334372</v>
      </c>
      <c r="O7" s="64" t="n">
        <f aca="false">Operations!O33</f>
        <v>25676646.4944211</v>
      </c>
      <c r="P7" s="64" t="n">
        <f aca="false">Operations!P33</f>
        <v>25987754.9885374</v>
      </c>
      <c r="Q7" s="64" t="n">
        <f aca="false">Operations!Q33</f>
        <v>26297368.8679956</v>
      </c>
      <c r="R7" s="64" t="n">
        <f aca="false">Operations!R33</f>
        <v>26615793.4371796</v>
      </c>
      <c r="S7" s="64" t="n">
        <f aca="false">Operations!S33</f>
        <v>26934447.6561918</v>
      </c>
      <c r="T7" s="64" t="n">
        <f aca="false">Operations!T33</f>
        <v>27260377.9262007</v>
      </c>
      <c r="U7" s="64" t="n">
        <f aca="false">Operations!U33</f>
        <v>27584739.2300659</v>
      </c>
      <c r="V7" s="64" t="n">
        <f aca="false">Operations!V33</f>
        <v>27918327.6693981</v>
      </c>
      <c r="W7" s="64" t="n">
        <f aca="false">Operations!W33</f>
        <v>28250308.6893702</v>
      </c>
      <c r="X7" s="64" t="n">
        <f aca="false">Operations!X33</f>
        <v>28591731.9765404</v>
      </c>
      <c r="Y7" s="64" t="n">
        <f aca="false">Operations!Y33</f>
        <v>28931508.4789131</v>
      </c>
      <c r="Z7" s="64" t="n">
        <f aca="false">Operations!Z33</f>
        <v>29280947.3170237</v>
      </c>
      <c r="AA7" s="64" t="n">
        <f aca="false">Operations!AA33</f>
        <v>29630631.4841104</v>
      </c>
      <c r="AB7" s="64" t="n">
        <f aca="false">Operations!AB33</f>
        <v>29988293.4161723</v>
      </c>
      <c r="AC7" s="64" t="n">
        <f aca="false">Operations!AC33</f>
        <v>30344226.8963252</v>
      </c>
      <c r="AD7" s="64" t="n">
        <f aca="false">Operations!AD33</f>
        <v>30710278.7484745</v>
      </c>
      <c r="AE7" s="64" t="n">
        <f aca="false">Operations!AE33</f>
        <v>31074559.9148577</v>
      </c>
      <c r="AF7" s="64" t="n">
        <f aca="false">Operations!AF33</f>
        <v>31449195.0291668</v>
      </c>
    </row>
    <row r="8" customFormat="false" ht="15" hidden="false" customHeight="true" outlineLevel="0" collapsed="false">
      <c r="B8" s="45" t="s">
        <v>184</v>
      </c>
      <c r="C8" s="57" t="n">
        <f aca="false">C6-C7</f>
        <v>11321773.1</v>
      </c>
      <c r="D8" s="57" t="n">
        <f aca="false">D6-D7</f>
        <v>11421181.0617476</v>
      </c>
      <c r="E8" s="57" t="n">
        <f aca="false">E6-E7</f>
        <v>12327859.6664975</v>
      </c>
      <c r="F8" s="57" t="n">
        <f aca="false">F6-F7</f>
        <v>12437929.1288168</v>
      </c>
      <c r="G8" s="57" t="n">
        <f aca="false">G6-G7</f>
        <v>13166521.7598253</v>
      </c>
      <c r="H8" s="57" t="n">
        <f aca="false">H6-H7</f>
        <v>13285399.9728457</v>
      </c>
      <c r="I8" s="57" t="n">
        <f aca="false">I6-I7</f>
        <v>13403401.3569779</v>
      </c>
      <c r="J8" s="57" t="n">
        <f aca="false">J6-J7</f>
        <v>13524447.5297062</v>
      </c>
      <c r="K8" s="57" t="n">
        <f aca="false">K6-K7</f>
        <v>13645268.0065965</v>
      </c>
      <c r="L8" s="57" t="n">
        <f aca="false">L6-L7</f>
        <v>13768528.3863989</v>
      </c>
      <c r="M8" s="57" t="n">
        <f aca="false">M6-M7</f>
        <v>13890880.2170671</v>
      </c>
      <c r="N8" s="57" t="n">
        <f aca="false">N6-N7</f>
        <v>14016389.7091471</v>
      </c>
      <c r="O8" s="57" t="n">
        <f aca="false">O6-O7</f>
        <v>14140974.3810857</v>
      </c>
      <c r="P8" s="57" t="n">
        <f aca="false">P6-P7</f>
        <v>14268774.6551532</v>
      </c>
      <c r="Q8" s="57" t="n">
        <f aca="false">Q6-Q7</f>
        <v>14395633.5428623</v>
      </c>
      <c r="R8" s="57" t="n">
        <f aca="false">R6-R7</f>
        <v>14525767.0534714</v>
      </c>
      <c r="S8" s="57" t="n">
        <f aca="false">S6-S7</f>
        <v>14655659.2112939</v>
      </c>
      <c r="T8" s="57" t="n">
        <f aca="false">T6-T7</f>
        <v>14788175.7839759</v>
      </c>
      <c r="U8" s="57" t="n">
        <f aca="false">U6-U7</f>
        <v>14919716.8829187</v>
      </c>
      <c r="V8" s="57" t="n">
        <f aca="false">V6-V7</f>
        <v>15054654.1381074</v>
      </c>
      <c r="W8" s="57" t="n">
        <f aca="false">W6-W7</f>
        <v>15188598.4338287</v>
      </c>
      <c r="X8" s="57" t="n">
        <f aca="false">X6-X7</f>
        <v>15326001.2743244</v>
      </c>
      <c r="Y8" s="57" t="n">
        <f aca="false">Y6-Y7</f>
        <v>15462393.3520401</v>
      </c>
      <c r="Z8" s="57" t="n">
        <f aca="false">Z6-Z7</f>
        <v>15602307.5274713</v>
      </c>
      <c r="AA8" s="57" t="n">
        <f aca="false">AA6-AA7</f>
        <v>15741963.6066211</v>
      </c>
      <c r="AB8" s="57" t="n">
        <f aca="false">AB6-AB7</f>
        <v>15884442.8025998</v>
      </c>
      <c r="AC8" s="57" t="n">
        <f aca="false">AC6-AC7</f>
        <v>16025874.6018727</v>
      </c>
      <c r="AD8" s="57" t="n">
        <f aca="false">AD6-AD7</f>
        <v>16170959.3691805</v>
      </c>
      <c r="AE8" s="57" t="n">
        <f aca="false">AE6-AE7</f>
        <v>16314977.9472252</v>
      </c>
      <c r="AF8" s="57" t="n">
        <f aca="false">AF6-AF7</f>
        <v>16462716.6772217</v>
      </c>
    </row>
    <row r="9" customFormat="false" ht="15" hidden="false" customHeight="true" outlineLevel="0" collapsed="false">
      <c r="B9" s="47" t="s">
        <v>217</v>
      </c>
      <c r="C9" s="64" t="n">
        <f aca="false">'Debt &amp; Financing'!C9</f>
        <v>0</v>
      </c>
      <c r="D9" s="64" t="n">
        <f aca="false">'Debt &amp; Financing'!D9</f>
        <v>0</v>
      </c>
      <c r="E9" s="64" t="n">
        <f aca="false">'Debt &amp; Financing'!E9</f>
        <v>0</v>
      </c>
      <c r="F9" s="64" t="n">
        <f aca="false">'Debt &amp; Financing'!F9</f>
        <v>0</v>
      </c>
      <c r="G9" s="64" t="n">
        <f aca="false">'Debt &amp; Financing'!G9</f>
        <v>0</v>
      </c>
      <c r="H9" s="64" t="n">
        <f aca="false">'Debt &amp; Financing'!H9</f>
        <v>0</v>
      </c>
      <c r="I9" s="64" t="n">
        <f aca="false">'Debt &amp; Financing'!I9</f>
        <v>0</v>
      </c>
      <c r="J9" s="64" t="n">
        <f aca="false">'Debt &amp; Financing'!J9</f>
        <v>0</v>
      </c>
      <c r="K9" s="64" t="n">
        <f aca="false">'Debt &amp; Financing'!K9</f>
        <v>0</v>
      </c>
      <c r="L9" s="64" t="n">
        <f aca="false">'Debt &amp; Financing'!L9</f>
        <v>0</v>
      </c>
      <c r="M9" s="64" t="n">
        <f aca="false">'Debt &amp; Financing'!M9</f>
        <v>0</v>
      </c>
      <c r="N9" s="64" t="n">
        <f aca="false">'Debt &amp; Financing'!N9</f>
        <v>0</v>
      </c>
      <c r="O9" s="64" t="n">
        <f aca="false">'Debt &amp; Financing'!O9</f>
        <v>0</v>
      </c>
      <c r="P9" s="64" t="n">
        <f aca="false">'Debt &amp; Financing'!P9</f>
        <v>0</v>
      </c>
      <c r="Q9" s="64" t="n">
        <f aca="false">'Debt &amp; Financing'!Q9</f>
        <v>0</v>
      </c>
      <c r="R9" s="64" t="n">
        <f aca="false">'Debt &amp; Financing'!R9</f>
        <v>0</v>
      </c>
      <c r="S9" s="64" t="n">
        <f aca="false">'Debt &amp; Financing'!S9</f>
        <v>0</v>
      </c>
      <c r="T9" s="64" t="n">
        <f aca="false">'Debt &amp; Financing'!T9</f>
        <v>0</v>
      </c>
      <c r="U9" s="64" t="n">
        <f aca="false">'Debt &amp; Financing'!U9</f>
        <v>0</v>
      </c>
      <c r="V9" s="64" t="n">
        <f aca="false">'Debt &amp; Financing'!V9</f>
        <v>0</v>
      </c>
      <c r="W9" s="64" t="n">
        <f aca="false">'Debt &amp; Financing'!W9</f>
        <v>0</v>
      </c>
      <c r="X9" s="64" t="n">
        <f aca="false">'Debt &amp; Financing'!X9</f>
        <v>0</v>
      </c>
      <c r="Y9" s="64" t="n">
        <f aca="false">'Debt &amp; Financing'!Y9</f>
        <v>2787473.33801003</v>
      </c>
      <c r="Z9" s="64" t="n">
        <f aca="false">'Debt &amp; Financing'!Z9</f>
        <v>2822451.88186783</v>
      </c>
      <c r="AA9" s="64" t="n">
        <f aca="false">'Debt &amp; Financing'!AA9</f>
        <v>3935490.90165527</v>
      </c>
      <c r="AB9" s="64" t="n">
        <f aca="false">'Debt &amp; Financing'!AB9</f>
        <v>3971110.70064996</v>
      </c>
      <c r="AC9" s="64" t="n">
        <f aca="false">'Debt &amp; Financing'!AC9</f>
        <v>4006468.65046818</v>
      </c>
      <c r="AD9" s="64" t="n">
        <f aca="false">'Debt &amp; Financing'!AD9</f>
        <v>4042739.84229511</v>
      </c>
      <c r="AE9" s="64" t="n">
        <f aca="false">'Debt &amp; Financing'!AE9</f>
        <v>4078744.4868063</v>
      </c>
      <c r="AF9" s="64" t="n">
        <f aca="false">'Debt &amp; Financing'!AF9</f>
        <v>4115679.16930543</v>
      </c>
    </row>
    <row r="10" customFormat="false" ht="15" hidden="false" customHeight="true" outlineLevel="0" collapsed="false">
      <c r="B10" s="53" t="s">
        <v>218</v>
      </c>
      <c r="C10" s="65" t="n">
        <f aca="false">C8-C9</f>
        <v>11321773.1</v>
      </c>
      <c r="D10" s="65" t="n">
        <f aca="false">D8-D9</f>
        <v>11421181.0617476</v>
      </c>
      <c r="E10" s="65" t="n">
        <f aca="false">E8-E9</f>
        <v>12327859.6664975</v>
      </c>
      <c r="F10" s="65" t="n">
        <f aca="false">F8-F9</f>
        <v>12437929.1288168</v>
      </c>
      <c r="G10" s="65" t="n">
        <f aca="false">G8-G9</f>
        <v>13166521.7598253</v>
      </c>
      <c r="H10" s="65" t="n">
        <f aca="false">H8-H9</f>
        <v>13285399.9728457</v>
      </c>
      <c r="I10" s="65" t="n">
        <f aca="false">I8-I9</f>
        <v>13403401.3569779</v>
      </c>
      <c r="J10" s="65" t="n">
        <f aca="false">J8-J9</f>
        <v>13524447.5297062</v>
      </c>
      <c r="K10" s="65" t="n">
        <f aca="false">K8-K9</f>
        <v>13645268.0065965</v>
      </c>
      <c r="L10" s="65" t="n">
        <f aca="false">L8-L9</f>
        <v>13768528.3863989</v>
      </c>
      <c r="M10" s="65" t="n">
        <f aca="false">M8-M9</f>
        <v>13890880.2170671</v>
      </c>
      <c r="N10" s="65" t="n">
        <f aca="false">N8-N9</f>
        <v>14016389.7091471</v>
      </c>
      <c r="O10" s="65" t="n">
        <f aca="false">O8-O9</f>
        <v>14140974.3810857</v>
      </c>
      <c r="P10" s="65" t="n">
        <f aca="false">P8-P9</f>
        <v>14268774.6551532</v>
      </c>
      <c r="Q10" s="65" t="n">
        <f aca="false">Q8-Q9</f>
        <v>14395633.5428623</v>
      </c>
      <c r="R10" s="65" t="n">
        <f aca="false">R8-R9</f>
        <v>14525767.0534714</v>
      </c>
      <c r="S10" s="65" t="n">
        <f aca="false">S8-S9</f>
        <v>14655659.2112939</v>
      </c>
      <c r="T10" s="65" t="n">
        <f aca="false">T8-T9</f>
        <v>14788175.7839759</v>
      </c>
      <c r="U10" s="65" t="n">
        <f aca="false">U8-U9</f>
        <v>14919716.8829187</v>
      </c>
      <c r="V10" s="65" t="n">
        <f aca="false">V8-V9</f>
        <v>15054654.1381074</v>
      </c>
      <c r="W10" s="65" t="n">
        <f aca="false">W8-W9</f>
        <v>15188598.4338287</v>
      </c>
      <c r="X10" s="65" t="n">
        <f aca="false">X8-X9</f>
        <v>15326001.2743244</v>
      </c>
      <c r="Y10" s="65" t="n">
        <f aca="false">Y8-Y9</f>
        <v>12674920.0140301</v>
      </c>
      <c r="Z10" s="65" t="n">
        <f aca="false">Z8-Z9</f>
        <v>12779855.6456035</v>
      </c>
      <c r="AA10" s="65" t="n">
        <f aca="false">AA8-AA9</f>
        <v>11806472.7049658</v>
      </c>
      <c r="AB10" s="65" t="n">
        <f aca="false">AB8-AB9</f>
        <v>11913332.1019499</v>
      </c>
      <c r="AC10" s="65" t="n">
        <f aca="false">AC8-AC9</f>
        <v>12019405.9514045</v>
      </c>
      <c r="AD10" s="65" t="n">
        <f aca="false">AD8-AD9</f>
        <v>12128219.5268853</v>
      </c>
      <c r="AE10" s="65" t="n">
        <f aca="false">AE8-AE9</f>
        <v>12236233.4604189</v>
      </c>
      <c r="AF10" s="65" t="n">
        <f aca="false">AF8-AF9</f>
        <v>12347037.5079163</v>
      </c>
    </row>
    <row r="12" customFormat="false" ht="15" hidden="false" customHeight="true" outlineLevel="0" collapsed="false">
      <c r="A12" s="9" t="s">
        <v>219</v>
      </c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</row>
    <row r="13" customFormat="false" ht="15" hidden="false" customHeight="true" outlineLevel="0" collapsed="false">
      <c r="B13" s="47" t="s">
        <v>220</v>
      </c>
      <c r="C13" s="64" t="n">
        <f aca="false">'Debt &amp; Financing'!C26</f>
        <v>8386498.59259259</v>
      </c>
      <c r="D13" s="64" t="n">
        <f aca="false">'Debt &amp; Financing'!D26</f>
        <v>8460134.11981307</v>
      </c>
      <c r="E13" s="64" t="n">
        <f aca="false">'Debt &amp; Financing'!E26</f>
        <v>9131747.90110929</v>
      </c>
      <c r="F13" s="64" t="n">
        <f aca="false">'Debt &amp; Financing'!F26</f>
        <v>9213280.83616057</v>
      </c>
      <c r="G13" s="64" t="n">
        <f aca="false">'Debt &amp; Financing'!G26</f>
        <v>9752979.08135206</v>
      </c>
      <c r="H13" s="64" t="n">
        <f aca="false">'Debt &amp; Financing'!H26</f>
        <v>9841037.01692276</v>
      </c>
      <c r="I13" s="64" t="n">
        <f aca="false">'Debt &amp; Financing'!I26</f>
        <v>9928445.44961325</v>
      </c>
      <c r="J13" s="64" t="n">
        <f aca="false">'Debt &amp; Financing'!J26</f>
        <v>10018109.2812638</v>
      </c>
      <c r="K13" s="64" t="n">
        <f aca="false">'Debt &amp; Financing'!K26</f>
        <v>10107605.9308123</v>
      </c>
      <c r="L13" s="64" t="n">
        <f aca="false">'Debt &amp; Financing'!L26</f>
        <v>10198909.9158511</v>
      </c>
      <c r="M13" s="64" t="n">
        <f aca="false">'Debt &amp; Financing'!M26</f>
        <v>10289540.9015312</v>
      </c>
      <c r="N13" s="64" t="n">
        <f aca="false">'Debt &amp; Financing'!N26</f>
        <v>10382510.8956645</v>
      </c>
      <c r="O13" s="64" t="n">
        <f aca="false">'Debt &amp; Financing'!O26</f>
        <v>10474795.8378413</v>
      </c>
      <c r="P13" s="64" t="n">
        <f aca="false">'Debt &amp; Financing'!P26</f>
        <v>10569462.7075209</v>
      </c>
      <c r="Q13" s="64" t="n">
        <f aca="false">'Debt &amp; Financing'!Q26</f>
        <v>10663432.2539721</v>
      </c>
      <c r="R13" s="64" t="n">
        <f aca="false">'Debt &amp; Financing'!R26</f>
        <v>10759827.4470159</v>
      </c>
      <c r="S13" s="64" t="n">
        <f aca="false">'Debt &amp; Financing'!S26</f>
        <v>10856043.8602177</v>
      </c>
      <c r="T13" s="64" t="n">
        <f aca="false">'Debt &amp; Financing'!T26</f>
        <v>10954204.2844266</v>
      </c>
      <c r="U13" s="64" t="n">
        <f aca="false">'Debt &amp; Financing'!U26</f>
        <v>11051642.1354953</v>
      </c>
      <c r="V13" s="64" t="n">
        <f aca="false">'Debt &amp; Financing'!V26</f>
        <v>11151595.6578574</v>
      </c>
      <c r="W13" s="64" t="n">
        <f aca="false">'Debt &amp; Financing'!W26</f>
        <v>11250813.6546879</v>
      </c>
      <c r="X13" s="64" t="n">
        <f aca="false">'Debt &amp; Financing'!X26</f>
        <v>11352593.5365366</v>
      </c>
      <c r="Y13" s="64" t="n">
        <f aca="false">'Debt &amp; Financing'!Y26</f>
        <v>9388829.64002228</v>
      </c>
      <c r="Z13" s="64" t="n">
        <f aca="false">'Debt &amp; Financing'!Z26</f>
        <v>9466559.73748406</v>
      </c>
      <c r="AA13" s="64" t="n">
        <f aca="false">'Debt &amp; Financing'!AA26</f>
        <v>8745535.3370117</v>
      </c>
      <c r="AB13" s="64" t="n">
        <f aca="false">'Debt &amp; Financing'!AB26</f>
        <v>8824690.44588879</v>
      </c>
      <c r="AC13" s="64" t="n">
        <f aca="false">'Debt &amp; Financing'!AC26</f>
        <v>8903263.66770707</v>
      </c>
      <c r="AD13" s="64" t="n">
        <f aca="false">'Debt &amp; Financing'!AD26</f>
        <v>8983866.31621136</v>
      </c>
      <c r="AE13" s="64" t="n">
        <f aca="false">'Debt &amp; Financing'!AE26</f>
        <v>9063876.63734734</v>
      </c>
      <c r="AF13" s="64" t="n">
        <f aca="false">'Debt &amp; Financing'!AF26</f>
        <v>9145953.70956726</v>
      </c>
    </row>
    <row r="14" customFormat="false" ht="15" hidden="false" customHeight="true" outlineLevel="0" collapsed="false">
      <c r="B14" s="45" t="s">
        <v>221</v>
      </c>
      <c r="C14" s="57" t="n">
        <f aca="false">C10-C13</f>
        <v>2935274.50740741</v>
      </c>
      <c r="D14" s="57" t="n">
        <f aca="false">D10-D13</f>
        <v>2961046.94193458</v>
      </c>
      <c r="E14" s="57" t="n">
        <f aca="false">E10-E13</f>
        <v>3196111.76538825</v>
      </c>
      <c r="F14" s="57" t="n">
        <f aca="false">F10-F13</f>
        <v>3224648.2926562</v>
      </c>
      <c r="G14" s="57" t="n">
        <f aca="false">G10-G13</f>
        <v>3413542.67847322</v>
      </c>
      <c r="H14" s="57" t="n">
        <f aca="false">H10-H13</f>
        <v>3444362.95592297</v>
      </c>
      <c r="I14" s="57" t="n">
        <f aca="false">I10-I13</f>
        <v>3474955.90736464</v>
      </c>
      <c r="J14" s="57" t="n">
        <f aca="false">J10-J13</f>
        <v>3506338.24844234</v>
      </c>
      <c r="K14" s="57" t="n">
        <f aca="false">K10-K13</f>
        <v>3537662.07578429</v>
      </c>
      <c r="L14" s="57" t="n">
        <f aca="false">L10-L13</f>
        <v>3569618.47054787</v>
      </c>
      <c r="M14" s="57" t="n">
        <f aca="false">M10-M13</f>
        <v>3601339.31553591</v>
      </c>
      <c r="N14" s="57" t="n">
        <f aca="false">N10-N13</f>
        <v>3633878.81348258</v>
      </c>
      <c r="O14" s="57" t="n">
        <f aca="false">O10-O13</f>
        <v>3666178.54324445</v>
      </c>
      <c r="P14" s="57" t="n">
        <f aca="false">P10-P13</f>
        <v>3699311.94763231</v>
      </c>
      <c r="Q14" s="57" t="n">
        <f aca="false">Q10-Q13</f>
        <v>3732201.28889023</v>
      </c>
      <c r="R14" s="57" t="n">
        <f aca="false">R10-R13</f>
        <v>3765939.60645555</v>
      </c>
      <c r="S14" s="57" t="n">
        <f aca="false">S10-S13</f>
        <v>3799615.35107621</v>
      </c>
      <c r="T14" s="57" t="n">
        <f aca="false">T10-T13</f>
        <v>3833971.49954932</v>
      </c>
      <c r="U14" s="57" t="n">
        <f aca="false">U10-U13</f>
        <v>3868074.74742336</v>
      </c>
      <c r="V14" s="57" t="n">
        <f aca="false">V10-V13</f>
        <v>3903058.48025008</v>
      </c>
      <c r="W14" s="57" t="n">
        <f aca="false">W10-W13</f>
        <v>3937784.77914078</v>
      </c>
      <c r="X14" s="57" t="n">
        <f aca="false">X10-X13</f>
        <v>3973407.73778781</v>
      </c>
      <c r="Y14" s="57" t="n">
        <f aca="false">Y10-Y13</f>
        <v>3286090.3740078</v>
      </c>
      <c r="Z14" s="57" t="n">
        <f aca="false">Z10-Z13</f>
        <v>3313295.90811942</v>
      </c>
      <c r="AA14" s="57" t="n">
        <f aca="false">AA10-AA13</f>
        <v>3060937.3679541</v>
      </c>
      <c r="AB14" s="57" t="n">
        <f aca="false">AB10-AB13</f>
        <v>3088641.65606108</v>
      </c>
      <c r="AC14" s="57" t="n">
        <f aca="false">AC10-AC13</f>
        <v>3116142.28369747</v>
      </c>
      <c r="AD14" s="57" t="n">
        <f aca="false">AD10-AD13</f>
        <v>3144353.21067398</v>
      </c>
      <c r="AE14" s="57" t="n">
        <f aca="false">AE10-AE13</f>
        <v>3172356.82307157</v>
      </c>
      <c r="AF14" s="57" t="n">
        <f aca="false">AF10-AF13</f>
        <v>3201083.79834905</v>
      </c>
    </row>
    <row r="15" customFormat="false" ht="15" hidden="false" customHeight="true" outlineLevel="0" collapsed="false">
      <c r="B15" s="47" t="s">
        <v>207</v>
      </c>
      <c r="C15" s="74" t="n">
        <f aca="false">'Debt &amp; Financing'!C28</f>
        <v>1.35</v>
      </c>
      <c r="D15" s="74" t="n">
        <f aca="false">'Debt &amp; Financing'!D28</f>
        <v>1.35</v>
      </c>
      <c r="E15" s="74" t="n">
        <f aca="false">'Debt &amp; Financing'!E28</f>
        <v>1.35</v>
      </c>
      <c r="F15" s="74" t="n">
        <f aca="false">'Debt &amp; Financing'!F28</f>
        <v>1.35</v>
      </c>
      <c r="G15" s="74" t="n">
        <f aca="false">'Debt &amp; Financing'!G28</f>
        <v>1.35</v>
      </c>
      <c r="H15" s="74" t="n">
        <f aca="false">'Debt &amp; Financing'!H28</f>
        <v>1.35</v>
      </c>
      <c r="I15" s="74" t="n">
        <f aca="false">'Debt &amp; Financing'!I28</f>
        <v>1.35</v>
      </c>
      <c r="J15" s="74" t="n">
        <f aca="false">'Debt &amp; Financing'!J28</f>
        <v>1.35</v>
      </c>
      <c r="K15" s="74" t="n">
        <f aca="false">'Debt &amp; Financing'!K28</f>
        <v>1.35</v>
      </c>
      <c r="L15" s="74" t="n">
        <f aca="false">'Debt &amp; Financing'!L28</f>
        <v>1.35</v>
      </c>
      <c r="M15" s="74" t="n">
        <f aca="false">'Debt &amp; Financing'!M28</f>
        <v>1.35</v>
      </c>
      <c r="N15" s="74" t="n">
        <f aca="false">'Debt &amp; Financing'!N28</f>
        <v>1.35</v>
      </c>
      <c r="O15" s="74" t="n">
        <f aca="false">'Debt &amp; Financing'!O28</f>
        <v>1.35</v>
      </c>
      <c r="P15" s="74" t="n">
        <f aca="false">'Debt &amp; Financing'!P28</f>
        <v>1.35</v>
      </c>
      <c r="Q15" s="74" t="n">
        <f aca="false">'Debt &amp; Financing'!Q28</f>
        <v>1.35</v>
      </c>
      <c r="R15" s="74" t="n">
        <f aca="false">'Debt &amp; Financing'!R28</f>
        <v>1.35</v>
      </c>
      <c r="S15" s="74" t="n">
        <f aca="false">'Debt &amp; Financing'!S28</f>
        <v>1.35</v>
      </c>
      <c r="T15" s="74" t="n">
        <f aca="false">'Debt &amp; Financing'!T28</f>
        <v>1.35</v>
      </c>
      <c r="U15" s="74" t="n">
        <f aca="false">'Debt &amp; Financing'!U28</f>
        <v>1.35</v>
      </c>
      <c r="V15" s="74" t="n">
        <f aca="false">'Debt &amp; Financing'!V28</f>
        <v>1.35</v>
      </c>
      <c r="W15" s="74" t="n">
        <f aca="false">'Debt &amp; Financing'!W28</f>
        <v>1.35</v>
      </c>
      <c r="X15" s="74" t="n">
        <f aca="false">'Debt &amp; Financing'!X28</f>
        <v>1.35</v>
      </c>
      <c r="Y15" s="74" t="n">
        <f aca="false">'Debt &amp; Financing'!Y28</f>
        <v>1.35</v>
      </c>
      <c r="Z15" s="74" t="n">
        <f aca="false">'Debt &amp; Financing'!Z28</f>
        <v>1.35</v>
      </c>
      <c r="AA15" s="74" t="n">
        <f aca="false">'Debt &amp; Financing'!AA28</f>
        <v>1.35</v>
      </c>
      <c r="AB15" s="74" t="n">
        <f aca="false">'Debt &amp; Financing'!AB28</f>
        <v>1.35</v>
      </c>
      <c r="AC15" s="74" t="n">
        <f aca="false">'Debt &amp; Financing'!AC28</f>
        <v>1.35</v>
      </c>
      <c r="AD15" s="74" t="n">
        <f aca="false">'Debt &amp; Financing'!AD28</f>
        <v>1.35</v>
      </c>
      <c r="AE15" s="74" t="n">
        <f aca="false">'Debt &amp; Financing'!AE28</f>
        <v>1.35</v>
      </c>
      <c r="AF15" s="74" t="n">
        <f aca="false">'Debt &amp; Financing'!AF28</f>
        <v>1.35000000000006</v>
      </c>
    </row>
    <row r="17" customFormat="false" ht="15" hidden="false" customHeight="true" outlineLevel="0" collapsed="false">
      <c r="A17" s="9" t="s">
        <v>222</v>
      </c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</row>
    <row r="18" customFormat="false" ht="15" hidden="false" customHeight="true" outlineLevel="0" collapsed="false">
      <c r="B18" s="47" t="s">
        <v>223</v>
      </c>
      <c r="C18" s="64" t="n">
        <f aca="false">Reserves!C9</f>
        <v>0</v>
      </c>
      <c r="D18" s="64" t="n">
        <f aca="false">Reserves!D9</f>
        <v>671613.78129622</v>
      </c>
      <c r="E18" s="64" t="n">
        <f aca="false">Reserves!E9</f>
        <v>81532.9350512829</v>
      </c>
      <c r="F18" s="64" t="n">
        <f aca="false">Reserves!F9</f>
        <v>539698.245191487</v>
      </c>
      <c r="G18" s="64" t="n">
        <f aca="false">Reserves!G9</f>
        <v>88057.9355706982</v>
      </c>
      <c r="H18" s="64" t="n">
        <f aca="false">Reserves!H9</f>
        <v>87408.4326904938</v>
      </c>
      <c r="I18" s="64" t="n">
        <f aca="false">Reserves!I9</f>
        <v>89663.8316505831</v>
      </c>
      <c r="J18" s="64" t="n">
        <f aca="false">Reserves!J9</f>
        <v>89496.6495484151</v>
      </c>
      <c r="K18" s="64" t="n">
        <f aca="false">Reserves!K9</f>
        <v>91303.9850388132</v>
      </c>
      <c r="L18" s="64" t="n">
        <f aca="false">Reserves!L9</f>
        <v>90630.9856800959</v>
      </c>
      <c r="M18" s="64" t="n">
        <f aca="false">Reserves!M9</f>
        <v>92969.9941333495</v>
      </c>
      <c r="N18" s="64" t="n">
        <f aca="false">Reserves!N9</f>
        <v>92284.9421767779</v>
      </c>
      <c r="O18" s="64" t="n">
        <f aca="false">Reserves!O9</f>
        <v>94666.8696795851</v>
      </c>
      <c r="P18" s="64" t="n">
        <f aca="false">Reserves!P9</f>
        <v>93969.5464512017</v>
      </c>
      <c r="Q18" s="64" t="n">
        <f aca="false">Reserves!Q9</f>
        <v>96395.1930437889</v>
      </c>
      <c r="R18" s="64" t="n">
        <f aca="false">Reserves!R9</f>
        <v>96216.4132018741</v>
      </c>
      <c r="S18" s="64" t="n">
        <f aca="false">Reserves!S9</f>
        <v>98160.4242088758</v>
      </c>
      <c r="T18" s="64" t="n">
        <f aca="false">Reserves!T9</f>
        <v>97437.8510686979</v>
      </c>
      <c r="U18" s="64" t="n">
        <f aca="false">Reserves!U9</f>
        <v>99953.5223620497</v>
      </c>
      <c r="V18" s="64" t="n">
        <f aca="false">Reserves!V9</f>
        <v>99217.996830577</v>
      </c>
      <c r="W18" s="64" t="n">
        <f aca="false">Reserves!W9</f>
        <v>101779.881848656</v>
      </c>
      <c r="X18" s="64" t="n">
        <f aca="false">Reserves!X9</f>
        <v>-1963763.89651431</v>
      </c>
      <c r="Y18" s="64" t="n">
        <f aca="false">Reserves!Y9</f>
        <v>77730.0974617805</v>
      </c>
      <c r="Z18" s="64" t="n">
        <f aca="false">Reserves!Z9</f>
        <v>-721024.40047236</v>
      </c>
      <c r="AA18" s="64" t="n">
        <f aca="false">Reserves!AA9</f>
        <v>79155.1088770889</v>
      </c>
      <c r="AB18" s="64" t="n">
        <f aca="false">Reserves!AB9</f>
        <v>78573.2218182739</v>
      </c>
      <c r="AC18" s="64" t="n">
        <f aca="false">Reserves!AC9</f>
        <v>80602.6485042982</v>
      </c>
      <c r="AD18" s="64" t="n">
        <f aca="false">Reserves!AD9</f>
        <v>80010.3211359773</v>
      </c>
      <c r="AE18" s="64" t="n">
        <f aca="false">Reserves!AE9</f>
        <v>82077.0722199157</v>
      </c>
      <c r="AF18" s="64" t="n">
        <f aca="false">Reserves!AF9</f>
        <v>-9145953.70956726</v>
      </c>
    </row>
    <row r="19" customFormat="false" ht="15" hidden="false" customHeight="true" outlineLevel="0" collapsed="false">
      <c r="B19" s="47" t="s">
        <v>224</v>
      </c>
      <c r="C19" s="64" t="n">
        <f aca="false">Reserves!C14</f>
        <v>690000</v>
      </c>
      <c r="D19" s="64" t="n">
        <f aca="false">Reserves!D14</f>
        <v>690000</v>
      </c>
      <c r="E19" s="64" t="n">
        <f aca="false">Reserves!E14</f>
        <v>690000</v>
      </c>
      <c r="F19" s="64" t="n">
        <f aca="false">Reserves!F14</f>
        <v>690000</v>
      </c>
      <c r="G19" s="64" t="n">
        <f aca="false">Reserves!G14</f>
        <v>690000</v>
      </c>
      <c r="H19" s="64" t="n">
        <f aca="false">Reserves!H14</f>
        <v>690000</v>
      </c>
      <c r="I19" s="64" t="n">
        <f aca="false">Reserves!I14</f>
        <v>690000</v>
      </c>
      <c r="J19" s="64" t="n">
        <f aca="false">Reserves!J14</f>
        <v>690000</v>
      </c>
      <c r="K19" s="64" t="n">
        <f aca="false">Reserves!K14</f>
        <v>690000</v>
      </c>
      <c r="L19" s="64" t="n">
        <f aca="false">Reserves!L14</f>
        <v>690000</v>
      </c>
      <c r="M19" s="64" t="n">
        <f aca="false">Reserves!M14</f>
        <v>690000</v>
      </c>
      <c r="N19" s="64" t="n">
        <f aca="false">Reserves!N14</f>
        <v>690000</v>
      </c>
      <c r="O19" s="64" t="n">
        <f aca="false">Reserves!O14</f>
        <v>690000</v>
      </c>
      <c r="P19" s="64" t="n">
        <f aca="false">Reserves!P14</f>
        <v>690000</v>
      </c>
      <c r="Q19" s="64" t="n">
        <f aca="false">Reserves!Q14</f>
        <v>690000</v>
      </c>
      <c r="R19" s="64" t="n">
        <f aca="false">Reserves!R14</f>
        <v>690000</v>
      </c>
      <c r="S19" s="64" t="n">
        <f aca="false">Reserves!S14</f>
        <v>690000</v>
      </c>
      <c r="T19" s="64" t="n">
        <f aca="false">Reserves!T14</f>
        <v>690000</v>
      </c>
      <c r="U19" s="64" t="n">
        <f aca="false">Reserves!U14</f>
        <v>690000</v>
      </c>
      <c r="V19" s="64" t="n">
        <f aca="false">Reserves!V14</f>
        <v>690000</v>
      </c>
      <c r="W19" s="64" t="n">
        <f aca="false">Reserves!W14</f>
        <v>690000</v>
      </c>
      <c r="X19" s="64" t="n">
        <f aca="false">Reserves!X14</f>
        <v>690000</v>
      </c>
      <c r="Y19" s="64" t="n">
        <f aca="false">Reserves!Y14</f>
        <v>690000</v>
      </c>
      <c r="Z19" s="64" t="n">
        <f aca="false">Reserves!Z14</f>
        <v>690000</v>
      </c>
      <c r="AA19" s="64" t="n">
        <f aca="false">Reserves!AA14</f>
        <v>690000</v>
      </c>
      <c r="AB19" s="64" t="n">
        <f aca="false">Reserves!AB14</f>
        <v>690000</v>
      </c>
      <c r="AC19" s="64" t="n">
        <f aca="false">Reserves!AC14</f>
        <v>690000</v>
      </c>
      <c r="AD19" s="64" t="n">
        <f aca="false">Reserves!AD14</f>
        <v>690000</v>
      </c>
      <c r="AE19" s="64" t="n">
        <f aca="false">Reserves!AE14</f>
        <v>690000</v>
      </c>
      <c r="AF19" s="64" t="n">
        <f aca="false">Reserves!AF14</f>
        <v>690000</v>
      </c>
    </row>
    <row r="20" customFormat="false" ht="15" hidden="false" customHeight="true" outlineLevel="0" collapsed="false">
      <c r="B20" s="47" t="s">
        <v>225</v>
      </c>
      <c r="C20" s="64" t="n">
        <f aca="false">Reserves!C16</f>
        <v>0</v>
      </c>
      <c r="D20" s="64" t="n">
        <f aca="false">Reserves!D16</f>
        <v>0</v>
      </c>
      <c r="E20" s="64" t="n">
        <f aca="false">Reserves!E16</f>
        <v>0</v>
      </c>
      <c r="F20" s="64" t="n">
        <f aca="false">Reserves!F16</f>
        <v>0</v>
      </c>
      <c r="G20" s="64" t="n">
        <f aca="false">Reserves!G16</f>
        <v>0</v>
      </c>
      <c r="H20" s="64" t="n">
        <f aca="false">Reserves!H16</f>
        <v>0</v>
      </c>
      <c r="I20" s="64" t="n">
        <f aca="false">Reserves!I16</f>
        <v>0</v>
      </c>
      <c r="J20" s="64" t="n">
        <f aca="false">Reserves!J16</f>
        <v>0</v>
      </c>
      <c r="K20" s="64" t="n">
        <f aca="false">Reserves!K16</f>
        <v>0</v>
      </c>
      <c r="L20" s="64" t="n">
        <f aca="false">Reserves!L16</f>
        <v>0</v>
      </c>
      <c r="M20" s="64" t="n">
        <f aca="false">Reserves!M16</f>
        <v>0</v>
      </c>
      <c r="N20" s="64" t="n">
        <f aca="false">Reserves!N16</f>
        <v>0</v>
      </c>
      <c r="O20" s="64" t="n">
        <f aca="false">Reserves!O16</f>
        <v>0</v>
      </c>
      <c r="P20" s="64" t="n">
        <f aca="false">Reserves!P16</f>
        <v>0</v>
      </c>
      <c r="Q20" s="64" t="n">
        <f aca="false">Reserves!Q16</f>
        <v>0</v>
      </c>
      <c r="R20" s="64" t="n">
        <f aca="false">Reserves!R16</f>
        <v>9660000</v>
      </c>
      <c r="S20" s="64" t="n">
        <f aca="false">Reserves!S16</f>
        <v>0</v>
      </c>
      <c r="T20" s="64" t="n">
        <f aca="false">Reserves!T16</f>
        <v>0</v>
      </c>
      <c r="U20" s="64" t="n">
        <f aca="false">Reserves!U16</f>
        <v>0</v>
      </c>
      <c r="V20" s="64" t="n">
        <f aca="false">Reserves!V16</f>
        <v>0</v>
      </c>
      <c r="W20" s="64" t="n">
        <f aca="false">Reserves!W16</f>
        <v>0</v>
      </c>
      <c r="X20" s="64" t="n">
        <f aca="false">Reserves!X16</f>
        <v>0</v>
      </c>
      <c r="Y20" s="64" t="n">
        <f aca="false">Reserves!Y16</f>
        <v>0</v>
      </c>
      <c r="Z20" s="64" t="n">
        <f aca="false">Reserves!Z16</f>
        <v>0</v>
      </c>
      <c r="AA20" s="64" t="n">
        <f aca="false">Reserves!AA16</f>
        <v>0</v>
      </c>
      <c r="AB20" s="64" t="n">
        <f aca="false">Reserves!AB16</f>
        <v>0</v>
      </c>
      <c r="AC20" s="64" t="n">
        <f aca="false">Reserves!AC16</f>
        <v>0</v>
      </c>
      <c r="AD20" s="64" t="n">
        <f aca="false">Reserves!AD16</f>
        <v>0</v>
      </c>
      <c r="AE20" s="64" t="n">
        <f aca="false">Reserves!AE16</f>
        <v>0</v>
      </c>
      <c r="AF20" s="64" t="n">
        <f aca="false">Reserves!AF16</f>
        <v>0</v>
      </c>
    </row>
    <row r="22" customFormat="false" ht="15" hidden="false" customHeight="true" outlineLevel="0" collapsed="false">
      <c r="A22" s="9" t="s">
        <v>226</v>
      </c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  <c r="AF22" s="9"/>
    </row>
    <row r="23" customFormat="false" ht="15" hidden="false" customHeight="true" outlineLevel="0" collapsed="false">
      <c r="B23" s="53" t="s">
        <v>227</v>
      </c>
      <c r="C23" s="65" t="n">
        <f aca="false">MAX(0,C14-C18-C19-C20)</f>
        <v>2245274.50740741</v>
      </c>
      <c r="D23" s="65" t="n">
        <f aca="false">MAX(0,D14-D18-D19-D20)</f>
        <v>1599433.16063836</v>
      </c>
      <c r="E23" s="65" t="n">
        <f aca="false">MAX(0,E14-E18-E19-E20)</f>
        <v>2424578.83033697</v>
      </c>
      <c r="F23" s="65" t="n">
        <f aca="false">MAX(0,F14-F18-F19-F20)</f>
        <v>1994950.04746472</v>
      </c>
      <c r="G23" s="65" t="n">
        <f aca="false">MAX(0,G14-G18-G19-G20)</f>
        <v>2635484.74290252</v>
      </c>
      <c r="H23" s="65" t="n">
        <f aca="false">MAX(0,H14-H18-H19-H20)</f>
        <v>2666954.52323247</v>
      </c>
      <c r="I23" s="65" t="n">
        <f aca="false">MAX(0,I14-I18-I19-I20)</f>
        <v>2695292.07571406</v>
      </c>
      <c r="J23" s="65" t="n">
        <f aca="false">MAX(0,J14-J18-J19-J20)</f>
        <v>2726841.59889393</v>
      </c>
      <c r="K23" s="65" t="n">
        <f aca="false">MAX(0,K14-K18-K19-K20)</f>
        <v>2756358.09074548</v>
      </c>
      <c r="L23" s="65" t="n">
        <f aca="false">MAX(0,L14-L18-L19-L20)</f>
        <v>2788987.48486778</v>
      </c>
      <c r="M23" s="65" t="n">
        <f aca="false">MAX(0,M14-M18-M19-M20)</f>
        <v>2818369.32140256</v>
      </c>
      <c r="N23" s="65" t="n">
        <f aca="false">MAX(0,N14-N18-N19-N20)</f>
        <v>2851593.8713058</v>
      </c>
      <c r="O23" s="65" t="n">
        <f aca="false">MAX(0,O14-O18-O19-O20)</f>
        <v>2881511.67356487</v>
      </c>
      <c r="P23" s="65" t="n">
        <f aca="false">MAX(0,P14-P18-P19-P20)</f>
        <v>2915342.4011811</v>
      </c>
      <c r="Q23" s="65" t="n">
        <f aca="false">MAX(0,Q14-Q18-Q19-Q20)</f>
        <v>2945806.09584644</v>
      </c>
      <c r="R23" s="65" t="n">
        <f aca="false">MAX(0,R14-R18-R19-R20)</f>
        <v>0</v>
      </c>
      <c r="S23" s="65" t="n">
        <f aca="false">MAX(0,S14-S18-S19-S20)</f>
        <v>3011454.92686733</v>
      </c>
      <c r="T23" s="65" t="n">
        <f aca="false">MAX(0,T14-T18-T19-T20)</f>
        <v>3046533.64848062</v>
      </c>
      <c r="U23" s="65" t="n">
        <f aca="false">MAX(0,U14-U18-U19-U20)</f>
        <v>3078121.22506131</v>
      </c>
      <c r="V23" s="65" t="n">
        <f aca="false">MAX(0,V14-V18-V19-V20)</f>
        <v>3113840.4834195</v>
      </c>
      <c r="W23" s="65" t="n">
        <f aca="false">MAX(0,W14-W18-W19-W20)</f>
        <v>3146004.89729212</v>
      </c>
      <c r="X23" s="65" t="n">
        <f aca="false">MAX(0,X14-X18-X19-X20)</f>
        <v>5247171.63430212</v>
      </c>
      <c r="Y23" s="65" t="n">
        <f aca="false">MAX(0,Y14-Y18-Y19-Y20)</f>
        <v>2518360.27654602</v>
      </c>
      <c r="Z23" s="65" t="n">
        <f aca="false">MAX(0,Z14-Z18-Z19-Z20)</f>
        <v>3344320.30859178</v>
      </c>
      <c r="AA23" s="65" t="n">
        <f aca="false">MAX(0,AA14-AA18-AA19-AA20)</f>
        <v>2291782.25907701</v>
      </c>
      <c r="AB23" s="65" t="n">
        <f aca="false">MAX(0,AB14-AB18-AB19-AB20)</f>
        <v>2320068.4342428</v>
      </c>
      <c r="AC23" s="65" t="n">
        <f aca="false">MAX(0,AC14-AC18-AC19-AC20)</f>
        <v>2345539.63519318</v>
      </c>
      <c r="AD23" s="65" t="n">
        <f aca="false">MAX(0,AD14-AD18-AD19-AD20)</f>
        <v>2374342.889538</v>
      </c>
      <c r="AE23" s="65" t="n">
        <f aca="false">MAX(0,AE14-AE18-AE19-AE20)</f>
        <v>2400279.75085165</v>
      </c>
      <c r="AF23" s="65" t="n">
        <f aca="false">MAX(0,AF14-AF18-AF19-AF20)</f>
        <v>11657037.5079163</v>
      </c>
    </row>
    <row r="24" customFormat="false" ht="15" hidden="false" customHeight="true" outlineLevel="0" collapsed="false">
      <c r="B24" s="53" t="s">
        <v>228</v>
      </c>
      <c r="C24" s="65" t="n">
        <f aca="false">C23</f>
        <v>2245274.50740741</v>
      </c>
      <c r="D24" s="65" t="n">
        <f aca="false">D23</f>
        <v>1599433.16063836</v>
      </c>
      <c r="E24" s="65" t="n">
        <f aca="false">E23</f>
        <v>2424578.83033697</v>
      </c>
      <c r="F24" s="65" t="n">
        <f aca="false">F23</f>
        <v>1994950.04746472</v>
      </c>
      <c r="G24" s="65" t="n">
        <f aca="false">G23</f>
        <v>2635484.74290252</v>
      </c>
      <c r="H24" s="65" t="n">
        <f aca="false">H23</f>
        <v>2666954.52323247</v>
      </c>
      <c r="I24" s="65" t="n">
        <f aca="false">I23</f>
        <v>2695292.07571406</v>
      </c>
      <c r="J24" s="65" t="n">
        <f aca="false">J23</f>
        <v>2726841.59889393</v>
      </c>
      <c r="K24" s="65" t="n">
        <f aca="false">K23</f>
        <v>2756358.09074548</v>
      </c>
      <c r="L24" s="65" t="n">
        <f aca="false">L23</f>
        <v>2788987.48486778</v>
      </c>
      <c r="M24" s="65" t="n">
        <f aca="false">M23</f>
        <v>2818369.32140256</v>
      </c>
      <c r="N24" s="65" t="n">
        <f aca="false">N23</f>
        <v>2851593.8713058</v>
      </c>
      <c r="O24" s="65" t="n">
        <f aca="false">O23</f>
        <v>2881511.67356487</v>
      </c>
      <c r="P24" s="65" t="n">
        <f aca="false">P23</f>
        <v>2915342.4011811</v>
      </c>
      <c r="Q24" s="65" t="n">
        <f aca="false">Q23</f>
        <v>2945806.09584644</v>
      </c>
      <c r="R24" s="65" t="n">
        <f aca="false">R23</f>
        <v>0</v>
      </c>
      <c r="S24" s="65" t="n">
        <f aca="false">S23</f>
        <v>3011454.92686733</v>
      </c>
      <c r="T24" s="65" t="n">
        <f aca="false">T23</f>
        <v>3046533.64848062</v>
      </c>
      <c r="U24" s="65" t="n">
        <f aca="false">U23</f>
        <v>3078121.22506131</v>
      </c>
      <c r="V24" s="65" t="n">
        <f aca="false">V23</f>
        <v>3113840.4834195</v>
      </c>
      <c r="W24" s="65" t="n">
        <f aca="false">W23</f>
        <v>3146004.89729212</v>
      </c>
      <c r="X24" s="65" t="n">
        <f aca="false">X23</f>
        <v>5247171.63430212</v>
      </c>
      <c r="Y24" s="65" t="n">
        <f aca="false">Y23</f>
        <v>2518360.27654602</v>
      </c>
      <c r="Z24" s="65" t="n">
        <f aca="false">Z23</f>
        <v>3344320.30859178</v>
      </c>
      <c r="AA24" s="65" t="n">
        <f aca="false">AA23</f>
        <v>2291782.25907701</v>
      </c>
      <c r="AB24" s="65" t="n">
        <f aca="false">AB23</f>
        <v>2320068.4342428</v>
      </c>
      <c r="AC24" s="65" t="n">
        <f aca="false">AC23</f>
        <v>2345539.63519318</v>
      </c>
      <c r="AD24" s="65" t="n">
        <f aca="false">AD23</f>
        <v>2374342.889538</v>
      </c>
      <c r="AE24" s="65" t="n">
        <f aca="false">AE23</f>
        <v>2400279.75085165</v>
      </c>
      <c r="AF24" s="65" t="n">
        <f aca="false">AF23</f>
        <v>11657037.5079163</v>
      </c>
    </row>
    <row r="25" customFormat="false" ht="15" hidden="false" customHeight="true" outlineLevel="0" collapsed="false">
      <c r="B25" s="45" t="s">
        <v>229</v>
      </c>
      <c r="C25" s="45" t="str">
        <f aca="false">IF(MIN(C23:AF23)&gt;=0,"OK","ERROR")</f>
        <v>OK</v>
      </c>
    </row>
  </sheetData>
  <mergeCells count="5">
    <mergeCell ref="B1:F1"/>
    <mergeCell ref="A5:AF5"/>
    <mergeCell ref="A12:AF12"/>
    <mergeCell ref="A17:AF17"/>
    <mergeCell ref="A22:AF2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28B22"/>
    <pageSetUpPr fitToPage="false"/>
  </sheetPr>
  <dimension ref="A1:AF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40"/>
    <col collapsed="false" customWidth="true" hidden="false" outlineLevel="0" max="32" min="3" style="1" width="11"/>
  </cols>
  <sheetData>
    <row r="1" customFormat="false" ht="15.75" hidden="false" customHeight="true" outlineLevel="0" collapsed="false">
      <c r="B1" s="44" t="s">
        <v>230</v>
      </c>
      <c r="C1" s="44"/>
      <c r="D1" s="44"/>
      <c r="E1" s="44"/>
      <c r="F1" s="44"/>
    </row>
    <row r="3" customFormat="false" ht="15" hidden="false" customHeight="true" outlineLevel="0" collapsed="false">
      <c r="A3" s="9" t="s">
        <v>158</v>
      </c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</row>
    <row r="4" customFormat="false" ht="15" hidden="false" customHeight="true" outlineLevel="0" collapsed="false">
      <c r="B4" s="45" t="s">
        <v>117</v>
      </c>
      <c r="C4" s="46" t="n">
        <f aca="false">'Timing &amp; Calendar'!C$10</f>
        <v>1</v>
      </c>
      <c r="D4" s="46" t="n">
        <f aca="false">'Timing &amp; Calendar'!D$10</f>
        <v>2</v>
      </c>
      <c r="E4" s="46" t="n">
        <f aca="false">'Timing &amp; Calendar'!E$10</f>
        <v>3</v>
      </c>
      <c r="F4" s="46" t="n">
        <f aca="false">'Timing &amp; Calendar'!F$10</f>
        <v>4</v>
      </c>
      <c r="G4" s="46" t="n">
        <f aca="false">'Timing &amp; Calendar'!G$10</f>
        <v>5</v>
      </c>
      <c r="H4" s="46" t="n">
        <f aca="false">'Timing &amp; Calendar'!H$10</f>
        <v>6</v>
      </c>
      <c r="I4" s="46" t="n">
        <f aca="false">'Timing &amp; Calendar'!I$10</f>
        <v>7</v>
      </c>
      <c r="J4" s="46" t="n">
        <f aca="false">'Timing &amp; Calendar'!J$10</f>
        <v>8</v>
      </c>
      <c r="K4" s="46" t="n">
        <f aca="false">'Timing &amp; Calendar'!K$10</f>
        <v>9</v>
      </c>
      <c r="L4" s="46" t="n">
        <f aca="false">'Timing &amp; Calendar'!L$10</f>
        <v>10</v>
      </c>
      <c r="M4" s="46" t="n">
        <f aca="false">'Timing &amp; Calendar'!M$10</f>
        <v>11</v>
      </c>
      <c r="N4" s="46" t="n">
        <f aca="false">'Timing &amp; Calendar'!N$10</f>
        <v>12</v>
      </c>
      <c r="O4" s="46" t="n">
        <f aca="false">'Timing &amp; Calendar'!O$10</f>
        <v>13</v>
      </c>
      <c r="P4" s="46" t="n">
        <f aca="false">'Timing &amp; Calendar'!P$10</f>
        <v>14</v>
      </c>
      <c r="Q4" s="46" t="n">
        <f aca="false">'Timing &amp; Calendar'!Q$10</f>
        <v>15</v>
      </c>
      <c r="R4" s="46" t="n">
        <f aca="false">'Timing &amp; Calendar'!R$10</f>
        <v>16</v>
      </c>
      <c r="S4" s="46" t="n">
        <f aca="false">'Timing &amp; Calendar'!S$10</f>
        <v>17</v>
      </c>
      <c r="T4" s="46" t="n">
        <f aca="false">'Timing &amp; Calendar'!T$10</f>
        <v>18</v>
      </c>
      <c r="U4" s="46" t="n">
        <f aca="false">'Timing &amp; Calendar'!U$10</f>
        <v>19</v>
      </c>
      <c r="V4" s="46" t="n">
        <f aca="false">'Timing &amp; Calendar'!V$10</f>
        <v>20</v>
      </c>
      <c r="W4" s="46" t="n">
        <f aca="false">'Timing &amp; Calendar'!W$10</f>
        <v>21</v>
      </c>
      <c r="X4" s="46" t="n">
        <f aca="false">'Timing &amp; Calendar'!X$10</f>
        <v>22</v>
      </c>
      <c r="Y4" s="46" t="n">
        <f aca="false">'Timing &amp; Calendar'!Y$10</f>
        <v>23</v>
      </c>
      <c r="Z4" s="46" t="n">
        <f aca="false">'Timing &amp; Calendar'!Z$10</f>
        <v>24</v>
      </c>
      <c r="AA4" s="46" t="n">
        <f aca="false">'Timing &amp; Calendar'!AA$10</f>
        <v>25</v>
      </c>
      <c r="AB4" s="46" t="n">
        <f aca="false">'Timing &amp; Calendar'!AB$10</f>
        <v>26</v>
      </c>
      <c r="AC4" s="46" t="n">
        <f aca="false">'Timing &amp; Calendar'!AC$10</f>
        <v>27</v>
      </c>
      <c r="AD4" s="46" t="n">
        <f aca="false">'Timing &amp; Calendar'!AD$10</f>
        <v>28</v>
      </c>
      <c r="AE4" s="46" t="n">
        <f aca="false">'Timing &amp; Calendar'!AE$10</f>
        <v>29</v>
      </c>
      <c r="AF4" s="46" t="n">
        <f aca="false">'Timing &amp; Calendar'!AF$10</f>
        <v>30</v>
      </c>
    </row>
    <row r="6" customFormat="false" ht="15" hidden="false" customHeight="true" outlineLevel="0" collapsed="false">
      <c r="A6" s="9" t="s">
        <v>231</v>
      </c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</row>
    <row r="7" customFormat="false" ht="15" hidden="false" customHeight="true" outlineLevel="0" collapsed="false">
      <c r="B7" s="47" t="s">
        <v>232</v>
      </c>
      <c r="C7" s="56" t="n">
        <f aca="false">'Debt &amp; Financing'!$C$36</f>
        <v>8460134.11981307</v>
      </c>
      <c r="D7" s="56" t="n">
        <f aca="false">C10</f>
        <v>8460134.11981307</v>
      </c>
      <c r="E7" s="56" t="n">
        <f aca="false">D10</f>
        <v>9131747.90110929</v>
      </c>
      <c r="F7" s="56" t="n">
        <f aca="false">E10</f>
        <v>9213280.83616057</v>
      </c>
      <c r="G7" s="56" t="n">
        <f aca="false">F10</f>
        <v>9752979.08135206</v>
      </c>
      <c r="H7" s="56" t="n">
        <f aca="false">G10</f>
        <v>9841037.01692276</v>
      </c>
      <c r="I7" s="56" t="n">
        <f aca="false">H10</f>
        <v>9928445.44961325</v>
      </c>
      <c r="J7" s="56" t="n">
        <f aca="false">I10</f>
        <v>10018109.2812638</v>
      </c>
      <c r="K7" s="56" t="n">
        <f aca="false">J10</f>
        <v>10107605.9308123</v>
      </c>
      <c r="L7" s="56" t="n">
        <f aca="false">K10</f>
        <v>10198909.9158511</v>
      </c>
      <c r="M7" s="56" t="n">
        <f aca="false">L10</f>
        <v>10289540.9015312</v>
      </c>
      <c r="N7" s="56" t="n">
        <f aca="false">M10</f>
        <v>10382510.8956645</v>
      </c>
      <c r="O7" s="56" t="n">
        <f aca="false">N10</f>
        <v>10474795.8378413</v>
      </c>
      <c r="P7" s="56" t="n">
        <f aca="false">O10</f>
        <v>10569462.7075209</v>
      </c>
      <c r="Q7" s="56" t="n">
        <f aca="false">P10</f>
        <v>10663432.2539721</v>
      </c>
      <c r="R7" s="56" t="n">
        <f aca="false">Q10</f>
        <v>10759827.4470159</v>
      </c>
      <c r="S7" s="56" t="n">
        <f aca="false">R10</f>
        <v>10856043.8602177</v>
      </c>
      <c r="T7" s="56" t="n">
        <f aca="false">S10</f>
        <v>10954204.2844266</v>
      </c>
      <c r="U7" s="56" t="n">
        <f aca="false">T10</f>
        <v>11051642.1354953</v>
      </c>
      <c r="V7" s="56" t="n">
        <f aca="false">U10</f>
        <v>11151595.6578574</v>
      </c>
      <c r="W7" s="56" t="n">
        <f aca="false">V10</f>
        <v>11250813.6546879</v>
      </c>
      <c r="X7" s="56" t="n">
        <f aca="false">W10</f>
        <v>11352593.5365366</v>
      </c>
      <c r="Y7" s="56" t="n">
        <f aca="false">X10</f>
        <v>9388829.64002228</v>
      </c>
      <c r="Z7" s="56" t="n">
        <f aca="false">Y10</f>
        <v>9466559.73748406</v>
      </c>
      <c r="AA7" s="56" t="n">
        <f aca="false">Z10</f>
        <v>8745535.3370117</v>
      </c>
      <c r="AB7" s="56" t="n">
        <f aca="false">AA10</f>
        <v>8824690.44588879</v>
      </c>
      <c r="AC7" s="56" t="n">
        <f aca="false">AB10</f>
        <v>8903263.66770707</v>
      </c>
      <c r="AD7" s="56" t="n">
        <f aca="false">AC10</f>
        <v>8983866.31621136</v>
      </c>
      <c r="AE7" s="56" t="n">
        <f aca="false">AD10</f>
        <v>9063876.63734734</v>
      </c>
      <c r="AF7" s="56" t="n">
        <f aca="false">AE10</f>
        <v>9145953.70956726</v>
      </c>
    </row>
    <row r="8" customFormat="false" ht="15" hidden="false" customHeight="true" outlineLevel="0" collapsed="false">
      <c r="B8" s="47" t="s">
        <v>233</v>
      </c>
      <c r="C8" s="64" t="n">
        <f aca="false">'Debt &amp; Financing'!C35</f>
        <v>8460134.11981307</v>
      </c>
      <c r="D8" s="64" t="n">
        <f aca="false">'Debt &amp; Financing'!D35</f>
        <v>9131747.90110929</v>
      </c>
      <c r="E8" s="64" t="n">
        <f aca="false">'Debt &amp; Financing'!E35</f>
        <v>9213280.83616057</v>
      </c>
      <c r="F8" s="64" t="n">
        <f aca="false">'Debt &amp; Financing'!F35</f>
        <v>9752979.08135206</v>
      </c>
      <c r="G8" s="64" t="n">
        <f aca="false">'Debt &amp; Financing'!G35</f>
        <v>9841037.01692276</v>
      </c>
      <c r="H8" s="64" t="n">
        <f aca="false">'Debt &amp; Financing'!H35</f>
        <v>9928445.44961325</v>
      </c>
      <c r="I8" s="64" t="n">
        <f aca="false">'Debt &amp; Financing'!I35</f>
        <v>10018109.2812638</v>
      </c>
      <c r="J8" s="64" t="n">
        <f aca="false">'Debt &amp; Financing'!J35</f>
        <v>10107605.9308123</v>
      </c>
      <c r="K8" s="64" t="n">
        <f aca="false">'Debt &amp; Financing'!K35</f>
        <v>10198909.9158511</v>
      </c>
      <c r="L8" s="64" t="n">
        <f aca="false">'Debt &amp; Financing'!L35</f>
        <v>10289540.9015312</v>
      </c>
      <c r="M8" s="64" t="n">
        <f aca="false">'Debt &amp; Financing'!M35</f>
        <v>10382510.8956645</v>
      </c>
      <c r="N8" s="64" t="n">
        <f aca="false">'Debt &amp; Financing'!N35</f>
        <v>10474795.8378413</v>
      </c>
      <c r="O8" s="64" t="n">
        <f aca="false">'Debt &amp; Financing'!O35</f>
        <v>10569462.7075209</v>
      </c>
      <c r="P8" s="64" t="n">
        <f aca="false">'Debt &amp; Financing'!P35</f>
        <v>10663432.2539721</v>
      </c>
      <c r="Q8" s="64" t="n">
        <f aca="false">'Debt &amp; Financing'!Q35</f>
        <v>10759827.4470159</v>
      </c>
      <c r="R8" s="64" t="n">
        <f aca="false">'Debt &amp; Financing'!R35</f>
        <v>10856043.8602177</v>
      </c>
      <c r="S8" s="64" t="n">
        <f aca="false">'Debt &amp; Financing'!S35</f>
        <v>10954204.2844266</v>
      </c>
      <c r="T8" s="64" t="n">
        <f aca="false">'Debt &amp; Financing'!T35</f>
        <v>11051642.1354953</v>
      </c>
      <c r="U8" s="64" t="n">
        <f aca="false">'Debt &amp; Financing'!U35</f>
        <v>11151595.6578574</v>
      </c>
      <c r="V8" s="64" t="n">
        <f aca="false">'Debt &amp; Financing'!V35</f>
        <v>11250813.6546879</v>
      </c>
      <c r="W8" s="64" t="n">
        <f aca="false">'Debt &amp; Financing'!W35</f>
        <v>11352593.5365366</v>
      </c>
      <c r="X8" s="64" t="n">
        <f aca="false">'Debt &amp; Financing'!X35</f>
        <v>9388829.64002228</v>
      </c>
      <c r="Y8" s="64" t="n">
        <f aca="false">'Debt &amp; Financing'!Y35</f>
        <v>9466559.73748406</v>
      </c>
      <c r="Z8" s="64" t="n">
        <f aca="false">'Debt &amp; Financing'!Z35</f>
        <v>8745535.3370117</v>
      </c>
      <c r="AA8" s="64" t="n">
        <f aca="false">'Debt &amp; Financing'!AA35</f>
        <v>8824690.44588879</v>
      </c>
      <c r="AB8" s="64" t="n">
        <f aca="false">'Debt &amp; Financing'!AB35</f>
        <v>8903263.66770707</v>
      </c>
      <c r="AC8" s="64" t="n">
        <f aca="false">'Debt &amp; Financing'!AC35</f>
        <v>8983866.31621136</v>
      </c>
      <c r="AD8" s="64" t="n">
        <f aca="false">'Debt &amp; Financing'!AD35</f>
        <v>9063876.63734734</v>
      </c>
      <c r="AE8" s="64" t="n">
        <f aca="false">'Debt &amp; Financing'!AE35</f>
        <v>9145953.70956726</v>
      </c>
      <c r="AF8" s="64" t="n">
        <f aca="false">'Debt &amp; Financing'!AF35</f>
        <v>0</v>
      </c>
    </row>
    <row r="9" customFormat="false" ht="15" hidden="false" customHeight="true" outlineLevel="0" collapsed="false">
      <c r="B9" s="47" t="s">
        <v>234</v>
      </c>
      <c r="C9" s="56" t="n">
        <f aca="false">C8-C7</f>
        <v>0</v>
      </c>
      <c r="D9" s="56" t="n">
        <f aca="false">D8-D7</f>
        <v>671613.78129622</v>
      </c>
      <c r="E9" s="56" t="n">
        <f aca="false">E8-E7</f>
        <v>81532.9350512829</v>
      </c>
      <c r="F9" s="56" t="n">
        <f aca="false">F8-F7</f>
        <v>539698.245191487</v>
      </c>
      <c r="G9" s="56" t="n">
        <f aca="false">G8-G7</f>
        <v>88057.9355706982</v>
      </c>
      <c r="H9" s="56" t="n">
        <f aca="false">H8-H7</f>
        <v>87408.4326904938</v>
      </c>
      <c r="I9" s="56" t="n">
        <f aca="false">I8-I7</f>
        <v>89663.8316505831</v>
      </c>
      <c r="J9" s="56" t="n">
        <f aca="false">J8-J7</f>
        <v>89496.6495484151</v>
      </c>
      <c r="K9" s="56" t="n">
        <f aca="false">K8-K7</f>
        <v>91303.9850388132</v>
      </c>
      <c r="L9" s="56" t="n">
        <f aca="false">L8-L7</f>
        <v>90630.9856800959</v>
      </c>
      <c r="M9" s="56" t="n">
        <f aca="false">M8-M7</f>
        <v>92969.9941333495</v>
      </c>
      <c r="N9" s="56" t="n">
        <f aca="false">N8-N7</f>
        <v>92284.9421767779</v>
      </c>
      <c r="O9" s="56" t="n">
        <f aca="false">O8-O7</f>
        <v>94666.8696795851</v>
      </c>
      <c r="P9" s="56" t="n">
        <f aca="false">P8-P7</f>
        <v>93969.5464512017</v>
      </c>
      <c r="Q9" s="56" t="n">
        <f aca="false">Q8-Q7</f>
        <v>96395.1930437889</v>
      </c>
      <c r="R9" s="56" t="n">
        <f aca="false">R8-R7</f>
        <v>96216.4132018741</v>
      </c>
      <c r="S9" s="56" t="n">
        <f aca="false">S8-S7</f>
        <v>98160.4242088758</v>
      </c>
      <c r="T9" s="56" t="n">
        <f aca="false">T8-T7</f>
        <v>97437.8510686979</v>
      </c>
      <c r="U9" s="56" t="n">
        <f aca="false">U8-U7</f>
        <v>99953.5223620497</v>
      </c>
      <c r="V9" s="56" t="n">
        <f aca="false">V8-V7</f>
        <v>99217.996830577</v>
      </c>
      <c r="W9" s="56" t="n">
        <f aca="false">W8-W7</f>
        <v>101779.881848656</v>
      </c>
      <c r="X9" s="56" t="n">
        <f aca="false">X8-X7</f>
        <v>-1963763.89651431</v>
      </c>
      <c r="Y9" s="56" t="n">
        <f aca="false">Y8-Y7</f>
        <v>77730.0974617805</v>
      </c>
      <c r="Z9" s="56" t="n">
        <f aca="false">Z8-Z7</f>
        <v>-721024.40047236</v>
      </c>
      <c r="AA9" s="56" t="n">
        <f aca="false">AA8-AA7</f>
        <v>79155.1088770889</v>
      </c>
      <c r="AB9" s="56" t="n">
        <f aca="false">AB8-AB7</f>
        <v>78573.2218182739</v>
      </c>
      <c r="AC9" s="56" t="n">
        <f aca="false">AC8-AC7</f>
        <v>80602.6485042982</v>
      </c>
      <c r="AD9" s="56" t="n">
        <f aca="false">AD8-AD7</f>
        <v>80010.3211359773</v>
      </c>
      <c r="AE9" s="56" t="n">
        <f aca="false">AE8-AE7</f>
        <v>82077.0722199157</v>
      </c>
      <c r="AF9" s="56" t="n">
        <f aca="false">AF8-AF7</f>
        <v>-9145953.70956726</v>
      </c>
    </row>
    <row r="10" customFormat="false" ht="15" hidden="false" customHeight="true" outlineLevel="0" collapsed="false">
      <c r="B10" s="45" t="s">
        <v>235</v>
      </c>
      <c r="C10" s="57" t="n">
        <f aca="false">C7+C9</f>
        <v>8460134.11981307</v>
      </c>
      <c r="D10" s="57" t="n">
        <f aca="false">D7+D9</f>
        <v>9131747.90110929</v>
      </c>
      <c r="E10" s="57" t="n">
        <f aca="false">E7+E9</f>
        <v>9213280.83616057</v>
      </c>
      <c r="F10" s="57" t="n">
        <f aca="false">F7+F9</f>
        <v>9752979.08135206</v>
      </c>
      <c r="G10" s="57" t="n">
        <f aca="false">G7+G9</f>
        <v>9841037.01692276</v>
      </c>
      <c r="H10" s="57" t="n">
        <f aca="false">H7+H9</f>
        <v>9928445.44961325</v>
      </c>
      <c r="I10" s="57" t="n">
        <f aca="false">I7+I9</f>
        <v>10018109.2812638</v>
      </c>
      <c r="J10" s="57" t="n">
        <f aca="false">J7+J9</f>
        <v>10107605.9308123</v>
      </c>
      <c r="K10" s="57" t="n">
        <f aca="false">K7+K9</f>
        <v>10198909.9158511</v>
      </c>
      <c r="L10" s="57" t="n">
        <f aca="false">L7+L9</f>
        <v>10289540.9015312</v>
      </c>
      <c r="M10" s="57" t="n">
        <f aca="false">M7+M9</f>
        <v>10382510.8956645</v>
      </c>
      <c r="N10" s="57" t="n">
        <f aca="false">N7+N9</f>
        <v>10474795.8378413</v>
      </c>
      <c r="O10" s="57" t="n">
        <f aca="false">O7+O9</f>
        <v>10569462.7075209</v>
      </c>
      <c r="P10" s="57" t="n">
        <f aca="false">P7+P9</f>
        <v>10663432.2539721</v>
      </c>
      <c r="Q10" s="57" t="n">
        <f aca="false">Q7+Q9</f>
        <v>10759827.4470159</v>
      </c>
      <c r="R10" s="57" t="n">
        <f aca="false">R7+R9</f>
        <v>10856043.8602177</v>
      </c>
      <c r="S10" s="57" t="n">
        <f aca="false">S7+S9</f>
        <v>10954204.2844266</v>
      </c>
      <c r="T10" s="57" t="n">
        <f aca="false">T7+T9</f>
        <v>11051642.1354953</v>
      </c>
      <c r="U10" s="57" t="n">
        <f aca="false">U7+U9</f>
        <v>11151595.6578574</v>
      </c>
      <c r="V10" s="57" t="n">
        <f aca="false">V7+V9</f>
        <v>11250813.6546879</v>
      </c>
      <c r="W10" s="57" t="n">
        <f aca="false">W7+W9</f>
        <v>11352593.5365366</v>
      </c>
      <c r="X10" s="57" t="n">
        <f aca="false">X7+X9</f>
        <v>9388829.64002228</v>
      </c>
      <c r="Y10" s="57" t="n">
        <f aca="false">Y7+Y9</f>
        <v>9466559.73748406</v>
      </c>
      <c r="Z10" s="57" t="n">
        <f aca="false">Z7+Z9</f>
        <v>8745535.3370117</v>
      </c>
      <c r="AA10" s="57" t="n">
        <f aca="false">AA7+AA9</f>
        <v>8824690.44588879</v>
      </c>
      <c r="AB10" s="57" t="n">
        <f aca="false">AB7+AB9</f>
        <v>8903263.66770707</v>
      </c>
      <c r="AC10" s="57" t="n">
        <f aca="false">AC7+AC9</f>
        <v>8983866.31621136</v>
      </c>
      <c r="AD10" s="57" t="n">
        <f aca="false">AD7+AD9</f>
        <v>9063876.63734734</v>
      </c>
      <c r="AE10" s="57" t="n">
        <f aca="false">AE7+AE9</f>
        <v>9145953.70956726</v>
      </c>
      <c r="AF10" s="57" t="n">
        <f aca="false">AF7+AF9</f>
        <v>0</v>
      </c>
    </row>
    <row r="12" customFormat="false" ht="15" hidden="false" customHeight="true" outlineLevel="0" collapsed="false">
      <c r="A12" s="9" t="s">
        <v>236</v>
      </c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</row>
    <row r="13" customFormat="false" ht="15" hidden="false" customHeight="true" outlineLevel="0" collapsed="false">
      <c r="B13" s="47" t="s">
        <v>237</v>
      </c>
      <c r="C13" s="56" t="n">
        <f aca="false">0</f>
        <v>0</v>
      </c>
      <c r="D13" s="56" t="n">
        <f aca="false">C17</f>
        <v>690000</v>
      </c>
      <c r="E13" s="56" t="n">
        <f aca="false">D17</f>
        <v>1380000</v>
      </c>
      <c r="F13" s="56" t="n">
        <f aca="false">E17</f>
        <v>2070000</v>
      </c>
      <c r="G13" s="56" t="n">
        <f aca="false">F17</f>
        <v>2760000</v>
      </c>
      <c r="H13" s="56" t="n">
        <f aca="false">G17</f>
        <v>3450000</v>
      </c>
      <c r="I13" s="56" t="n">
        <f aca="false">H17</f>
        <v>4140000</v>
      </c>
      <c r="J13" s="56" t="n">
        <f aca="false">I17</f>
        <v>4830000</v>
      </c>
      <c r="K13" s="56" t="n">
        <f aca="false">J17</f>
        <v>5520000</v>
      </c>
      <c r="L13" s="56" t="n">
        <f aca="false">K17</f>
        <v>6210000</v>
      </c>
      <c r="M13" s="56" t="n">
        <f aca="false">L17</f>
        <v>6900000</v>
      </c>
      <c r="N13" s="56" t="n">
        <f aca="false">M17</f>
        <v>7590000</v>
      </c>
      <c r="O13" s="56" t="n">
        <f aca="false">N17</f>
        <v>8280000</v>
      </c>
      <c r="P13" s="56" t="n">
        <f aca="false">O17</f>
        <v>8970000</v>
      </c>
      <c r="Q13" s="56" t="n">
        <f aca="false">P17</f>
        <v>9660000</v>
      </c>
      <c r="R13" s="56" t="n">
        <f aca="false">Q17</f>
        <v>10350000</v>
      </c>
      <c r="S13" s="56" t="n">
        <f aca="false">R17</f>
        <v>0</v>
      </c>
      <c r="T13" s="56" t="n">
        <f aca="false">S17</f>
        <v>690000</v>
      </c>
      <c r="U13" s="56" t="n">
        <f aca="false">T17</f>
        <v>1380000</v>
      </c>
      <c r="V13" s="56" t="n">
        <f aca="false">U17</f>
        <v>2070000</v>
      </c>
      <c r="W13" s="56" t="n">
        <f aca="false">V17</f>
        <v>2760000</v>
      </c>
      <c r="X13" s="56" t="n">
        <f aca="false">W17</f>
        <v>3450000</v>
      </c>
      <c r="Y13" s="56" t="n">
        <f aca="false">X17</f>
        <v>4140000</v>
      </c>
      <c r="Z13" s="56" t="n">
        <f aca="false">Y17</f>
        <v>4830000</v>
      </c>
      <c r="AA13" s="56" t="n">
        <f aca="false">Z17</f>
        <v>5520000</v>
      </c>
      <c r="AB13" s="56" t="n">
        <f aca="false">AA17</f>
        <v>6210000</v>
      </c>
      <c r="AC13" s="56" t="n">
        <f aca="false">AB17</f>
        <v>6900000</v>
      </c>
      <c r="AD13" s="56" t="n">
        <f aca="false">AC17</f>
        <v>7590000</v>
      </c>
      <c r="AE13" s="56" t="n">
        <f aca="false">AD17</f>
        <v>8280000</v>
      </c>
      <c r="AF13" s="56" t="n">
        <f aca="false">AE17</f>
        <v>8970000</v>
      </c>
    </row>
    <row r="14" customFormat="false" ht="15" hidden="false" customHeight="true" outlineLevel="0" collapsed="false">
      <c r="B14" s="47" t="s">
        <v>238</v>
      </c>
      <c r="C14" s="56" t="n">
        <f aca="false">Construction!$C$5*Assumptions!$F$28/(Assumptions!$F$27*2)</f>
        <v>690000</v>
      </c>
      <c r="D14" s="56" t="n">
        <f aca="false">Construction!$C$5*Assumptions!$F$28/(Assumptions!$F$27*2)</f>
        <v>690000</v>
      </c>
      <c r="E14" s="56" t="n">
        <f aca="false">Construction!$C$5*Assumptions!$F$28/(Assumptions!$F$27*2)</f>
        <v>690000</v>
      </c>
      <c r="F14" s="56" t="n">
        <f aca="false">Construction!$C$5*Assumptions!$F$28/(Assumptions!$F$27*2)</f>
        <v>690000</v>
      </c>
      <c r="G14" s="56" t="n">
        <f aca="false">Construction!$C$5*Assumptions!$F$28/(Assumptions!$F$27*2)</f>
        <v>690000</v>
      </c>
      <c r="H14" s="56" t="n">
        <f aca="false">Construction!$C$5*Assumptions!$F$28/(Assumptions!$F$27*2)</f>
        <v>690000</v>
      </c>
      <c r="I14" s="56" t="n">
        <f aca="false">Construction!$C$5*Assumptions!$F$28/(Assumptions!$F$27*2)</f>
        <v>690000</v>
      </c>
      <c r="J14" s="56" t="n">
        <f aca="false">Construction!$C$5*Assumptions!$F$28/(Assumptions!$F$27*2)</f>
        <v>690000</v>
      </c>
      <c r="K14" s="56" t="n">
        <f aca="false">Construction!$C$5*Assumptions!$F$28/(Assumptions!$F$27*2)</f>
        <v>690000</v>
      </c>
      <c r="L14" s="56" t="n">
        <f aca="false">Construction!$C$5*Assumptions!$F$28/(Assumptions!$F$27*2)</f>
        <v>690000</v>
      </c>
      <c r="M14" s="56" t="n">
        <f aca="false">Construction!$C$5*Assumptions!$F$28/(Assumptions!$F$27*2)</f>
        <v>690000</v>
      </c>
      <c r="N14" s="56" t="n">
        <f aca="false">Construction!$C$5*Assumptions!$F$28/(Assumptions!$F$27*2)</f>
        <v>690000</v>
      </c>
      <c r="O14" s="56" t="n">
        <f aca="false">Construction!$C$5*Assumptions!$F$28/(Assumptions!$F$27*2)</f>
        <v>690000</v>
      </c>
      <c r="P14" s="56" t="n">
        <f aca="false">Construction!$C$5*Assumptions!$F$28/(Assumptions!$F$27*2)</f>
        <v>690000</v>
      </c>
      <c r="Q14" s="56" t="n">
        <f aca="false">Construction!$C$5*Assumptions!$F$28/(Assumptions!$F$27*2)</f>
        <v>690000</v>
      </c>
      <c r="R14" s="56" t="n">
        <f aca="false">Construction!$C$5*Assumptions!$F$28/(Assumptions!$F$27*2)</f>
        <v>690000</v>
      </c>
      <c r="S14" s="56" t="n">
        <f aca="false">Construction!$C$5*Assumptions!$F$28/(Assumptions!$F$27*2)</f>
        <v>690000</v>
      </c>
      <c r="T14" s="56" t="n">
        <f aca="false">Construction!$C$5*Assumptions!$F$28/(Assumptions!$F$27*2)</f>
        <v>690000</v>
      </c>
      <c r="U14" s="56" t="n">
        <f aca="false">Construction!$C$5*Assumptions!$F$28/(Assumptions!$F$27*2)</f>
        <v>690000</v>
      </c>
      <c r="V14" s="56" t="n">
        <f aca="false">Construction!$C$5*Assumptions!$F$28/(Assumptions!$F$27*2)</f>
        <v>690000</v>
      </c>
      <c r="W14" s="56" t="n">
        <f aca="false">Construction!$C$5*Assumptions!$F$28/(Assumptions!$F$27*2)</f>
        <v>690000</v>
      </c>
      <c r="X14" s="56" t="n">
        <f aca="false">Construction!$C$5*Assumptions!$F$28/(Assumptions!$F$27*2)</f>
        <v>690000</v>
      </c>
      <c r="Y14" s="56" t="n">
        <f aca="false">Construction!$C$5*Assumptions!$F$28/(Assumptions!$F$27*2)</f>
        <v>690000</v>
      </c>
      <c r="Z14" s="56" t="n">
        <f aca="false">Construction!$C$5*Assumptions!$F$28/(Assumptions!$F$27*2)</f>
        <v>690000</v>
      </c>
      <c r="AA14" s="56" t="n">
        <f aca="false">Construction!$C$5*Assumptions!$F$28/(Assumptions!$F$27*2)</f>
        <v>690000</v>
      </c>
      <c r="AB14" s="56" t="n">
        <f aca="false">Construction!$C$5*Assumptions!$F$28/(Assumptions!$F$27*2)</f>
        <v>690000</v>
      </c>
      <c r="AC14" s="56" t="n">
        <f aca="false">Construction!$C$5*Assumptions!$F$28/(Assumptions!$F$27*2)</f>
        <v>690000</v>
      </c>
      <c r="AD14" s="56" t="n">
        <f aca="false">Construction!$C$5*Assumptions!$F$28/(Assumptions!$F$27*2)</f>
        <v>690000</v>
      </c>
      <c r="AE14" s="56" t="n">
        <f aca="false">Construction!$C$5*Assumptions!$F$28/(Assumptions!$F$27*2)</f>
        <v>690000</v>
      </c>
      <c r="AF14" s="56" t="n">
        <f aca="false">Construction!$C$5*Assumptions!$F$28/(Assumptions!$F$27*2)</f>
        <v>690000</v>
      </c>
    </row>
    <row r="15" customFormat="false" ht="15" hidden="false" customHeight="true" outlineLevel="0" collapsed="false">
      <c r="B15" s="47" t="s">
        <v>239</v>
      </c>
      <c r="C15" s="56" t="n">
        <f aca="false">IF(1=Assumptions!$F$29,MIN(C13+C14,Construction!$C$5*Assumptions!$F$28),0)</f>
        <v>0</v>
      </c>
      <c r="D15" s="56" t="n">
        <f aca="false">IF(2=Assumptions!$F$29,MIN(D13+D14,Construction!$C$5*Assumptions!$F$28),0)</f>
        <v>0</v>
      </c>
      <c r="E15" s="56" t="n">
        <f aca="false">IF(3=Assumptions!$F$29,MIN(E13+E14,Construction!$C$5*Assumptions!$F$28),0)</f>
        <v>0</v>
      </c>
      <c r="F15" s="56" t="n">
        <f aca="false">IF(4=Assumptions!$F$29,MIN(F13+F14,Construction!$C$5*Assumptions!$F$28),0)</f>
        <v>0</v>
      </c>
      <c r="G15" s="56" t="n">
        <f aca="false">IF(5=Assumptions!$F$29,MIN(G13+G14,Construction!$C$5*Assumptions!$F$28),0)</f>
        <v>0</v>
      </c>
      <c r="H15" s="56" t="n">
        <f aca="false">IF(6=Assumptions!$F$29,MIN(H13+H14,Construction!$C$5*Assumptions!$F$28),0)</f>
        <v>0</v>
      </c>
      <c r="I15" s="56" t="n">
        <f aca="false">IF(7=Assumptions!$F$29,MIN(I13+I14,Construction!$C$5*Assumptions!$F$28),0)</f>
        <v>0</v>
      </c>
      <c r="J15" s="56" t="n">
        <f aca="false">IF(8=Assumptions!$F$29,MIN(J13+J14,Construction!$C$5*Assumptions!$F$28),0)</f>
        <v>0</v>
      </c>
      <c r="K15" s="56" t="n">
        <f aca="false">IF(9=Assumptions!$F$29,MIN(K13+K14,Construction!$C$5*Assumptions!$F$28),0)</f>
        <v>0</v>
      </c>
      <c r="L15" s="56" t="n">
        <f aca="false">IF(10=Assumptions!$F$29,MIN(L13+L14,Construction!$C$5*Assumptions!$F$28),0)</f>
        <v>0</v>
      </c>
      <c r="M15" s="56" t="n">
        <f aca="false">IF(11=Assumptions!$F$29,MIN(M13+M14,Construction!$C$5*Assumptions!$F$28),0)</f>
        <v>0</v>
      </c>
      <c r="N15" s="56" t="n">
        <f aca="false">IF(12=Assumptions!$F$29,MIN(N13+N14,Construction!$C$5*Assumptions!$F$28),0)</f>
        <v>0</v>
      </c>
      <c r="O15" s="56" t="n">
        <f aca="false">IF(13=Assumptions!$F$29,MIN(O13+O14,Construction!$C$5*Assumptions!$F$28),0)</f>
        <v>0</v>
      </c>
      <c r="P15" s="56" t="n">
        <f aca="false">IF(14=Assumptions!$F$29,MIN(P13+P14,Construction!$C$5*Assumptions!$F$28),0)</f>
        <v>0</v>
      </c>
      <c r="Q15" s="56" t="n">
        <f aca="false">IF(15=Assumptions!$F$29,MIN(Q13+Q14,Construction!$C$5*Assumptions!$F$28),0)</f>
        <v>0</v>
      </c>
      <c r="R15" s="56" t="n">
        <f aca="false">IF(16=Assumptions!$F$29,MIN(R13+R14,Construction!$C$5*Assumptions!$F$28),0)</f>
        <v>11040000</v>
      </c>
      <c r="S15" s="56" t="n">
        <f aca="false">IF(17=Assumptions!$F$29,MIN(S13+S14,Construction!$C$5*Assumptions!$F$28),0)</f>
        <v>0</v>
      </c>
      <c r="T15" s="56" t="n">
        <f aca="false">IF(18=Assumptions!$F$29,MIN(T13+T14,Construction!$C$5*Assumptions!$F$28),0)</f>
        <v>0</v>
      </c>
      <c r="U15" s="56" t="n">
        <f aca="false">IF(19=Assumptions!$F$29,MIN(U13+U14,Construction!$C$5*Assumptions!$F$28),0)</f>
        <v>0</v>
      </c>
      <c r="V15" s="56" t="n">
        <f aca="false">IF(20=Assumptions!$F$29,MIN(V13+V14,Construction!$C$5*Assumptions!$F$28),0)</f>
        <v>0</v>
      </c>
      <c r="W15" s="56" t="n">
        <f aca="false">IF(21=Assumptions!$F$29,MIN(W13+W14,Construction!$C$5*Assumptions!$F$28),0)</f>
        <v>0</v>
      </c>
      <c r="X15" s="56" t="n">
        <f aca="false">IF(22=Assumptions!$F$29,MIN(X13+X14,Construction!$C$5*Assumptions!$F$28),0)</f>
        <v>0</v>
      </c>
      <c r="Y15" s="56" t="n">
        <f aca="false">IF(23=Assumptions!$F$29,MIN(Y13+Y14,Construction!$C$5*Assumptions!$F$28),0)</f>
        <v>0</v>
      </c>
      <c r="Z15" s="56" t="n">
        <f aca="false">IF(24=Assumptions!$F$29,MIN(Z13+Z14,Construction!$C$5*Assumptions!$F$28),0)</f>
        <v>0</v>
      </c>
      <c r="AA15" s="56" t="n">
        <f aca="false">IF(25=Assumptions!$F$29,MIN(AA13+AA14,Construction!$C$5*Assumptions!$F$28),0)</f>
        <v>0</v>
      </c>
      <c r="AB15" s="56" t="n">
        <f aca="false">IF(26=Assumptions!$F$29,MIN(AB13+AB14,Construction!$C$5*Assumptions!$F$28),0)</f>
        <v>0</v>
      </c>
      <c r="AC15" s="56" t="n">
        <f aca="false">IF(27=Assumptions!$F$29,MIN(AC13+AC14,Construction!$C$5*Assumptions!$F$28),0)</f>
        <v>0</v>
      </c>
      <c r="AD15" s="56" t="n">
        <f aca="false">IF(28=Assumptions!$F$29,MIN(AD13+AD14,Construction!$C$5*Assumptions!$F$28),0)</f>
        <v>0</v>
      </c>
      <c r="AE15" s="56" t="n">
        <f aca="false">IF(29=Assumptions!$F$29,MIN(AE13+AE14,Construction!$C$5*Assumptions!$F$28),0)</f>
        <v>0</v>
      </c>
      <c r="AF15" s="56" t="n">
        <f aca="false">IF(30=Assumptions!$F$29,MIN(AF13+AF14,Construction!$C$5*Assumptions!$F$28),0)</f>
        <v>0</v>
      </c>
    </row>
    <row r="16" customFormat="false" ht="15" hidden="false" customHeight="true" outlineLevel="0" collapsed="false">
      <c r="B16" s="47" t="s">
        <v>240</v>
      </c>
      <c r="C16" s="56" t="n">
        <f aca="false">IF(1=Assumptions!$F$29,MAX(0,Construction!$C$5*Assumptions!$F$28-(C13+C14)),0)</f>
        <v>0</v>
      </c>
      <c r="D16" s="56" t="n">
        <f aca="false">IF(2=Assumptions!$F$29,MAX(0,Construction!$C$5*Assumptions!$F$28-(D13+D14)),0)</f>
        <v>0</v>
      </c>
      <c r="E16" s="56" t="n">
        <f aca="false">IF(3=Assumptions!$F$29,MAX(0,Construction!$C$5*Assumptions!$F$28-(E13+E14)),0)</f>
        <v>0</v>
      </c>
      <c r="F16" s="56" t="n">
        <f aca="false">IF(4=Assumptions!$F$29,MAX(0,Construction!$C$5*Assumptions!$F$28-(F13+F14)),0)</f>
        <v>0</v>
      </c>
      <c r="G16" s="56" t="n">
        <f aca="false">IF(5=Assumptions!$F$29,MAX(0,Construction!$C$5*Assumptions!$F$28-(G13+G14)),0)</f>
        <v>0</v>
      </c>
      <c r="H16" s="56" t="n">
        <f aca="false">IF(6=Assumptions!$F$29,MAX(0,Construction!$C$5*Assumptions!$F$28-(H13+H14)),0)</f>
        <v>0</v>
      </c>
      <c r="I16" s="56" t="n">
        <f aca="false">IF(7=Assumptions!$F$29,MAX(0,Construction!$C$5*Assumptions!$F$28-(I13+I14)),0)</f>
        <v>0</v>
      </c>
      <c r="J16" s="56" t="n">
        <f aca="false">IF(8=Assumptions!$F$29,MAX(0,Construction!$C$5*Assumptions!$F$28-(J13+J14)),0)</f>
        <v>0</v>
      </c>
      <c r="K16" s="56" t="n">
        <f aca="false">IF(9=Assumptions!$F$29,MAX(0,Construction!$C$5*Assumptions!$F$28-(K13+K14)),0)</f>
        <v>0</v>
      </c>
      <c r="L16" s="56" t="n">
        <f aca="false">IF(10=Assumptions!$F$29,MAX(0,Construction!$C$5*Assumptions!$F$28-(L13+L14)),0)</f>
        <v>0</v>
      </c>
      <c r="M16" s="56" t="n">
        <f aca="false">IF(11=Assumptions!$F$29,MAX(0,Construction!$C$5*Assumptions!$F$28-(M13+M14)),0)</f>
        <v>0</v>
      </c>
      <c r="N16" s="56" t="n">
        <f aca="false">IF(12=Assumptions!$F$29,MAX(0,Construction!$C$5*Assumptions!$F$28-(N13+N14)),0)</f>
        <v>0</v>
      </c>
      <c r="O16" s="56" t="n">
        <f aca="false">IF(13=Assumptions!$F$29,MAX(0,Construction!$C$5*Assumptions!$F$28-(O13+O14)),0)</f>
        <v>0</v>
      </c>
      <c r="P16" s="56" t="n">
        <f aca="false">IF(14=Assumptions!$F$29,MAX(0,Construction!$C$5*Assumptions!$F$28-(P13+P14)),0)</f>
        <v>0</v>
      </c>
      <c r="Q16" s="56" t="n">
        <f aca="false">IF(15=Assumptions!$F$29,MAX(0,Construction!$C$5*Assumptions!$F$28-(Q13+Q14)),0)</f>
        <v>0</v>
      </c>
      <c r="R16" s="56" t="n">
        <f aca="false">IF(16=Assumptions!$F$29,MAX(0,Construction!$C$5*Assumptions!$F$28-(R13+R14)),0)</f>
        <v>9660000</v>
      </c>
      <c r="S16" s="56" t="n">
        <f aca="false">IF(17=Assumptions!$F$29,MAX(0,Construction!$C$5*Assumptions!$F$28-(S13+S14)),0)</f>
        <v>0</v>
      </c>
      <c r="T16" s="56" t="n">
        <f aca="false">IF(18=Assumptions!$F$29,MAX(0,Construction!$C$5*Assumptions!$F$28-(T13+T14)),0)</f>
        <v>0</v>
      </c>
      <c r="U16" s="56" t="n">
        <f aca="false">IF(19=Assumptions!$F$29,MAX(0,Construction!$C$5*Assumptions!$F$28-(U13+U14)),0)</f>
        <v>0</v>
      </c>
      <c r="V16" s="56" t="n">
        <f aca="false">IF(20=Assumptions!$F$29,MAX(0,Construction!$C$5*Assumptions!$F$28-(V13+V14)),0)</f>
        <v>0</v>
      </c>
      <c r="W16" s="56" t="n">
        <f aca="false">IF(21=Assumptions!$F$29,MAX(0,Construction!$C$5*Assumptions!$F$28-(W13+W14)),0)</f>
        <v>0</v>
      </c>
      <c r="X16" s="56" t="n">
        <f aca="false">IF(22=Assumptions!$F$29,MAX(0,Construction!$C$5*Assumptions!$F$28-(X13+X14)),0)</f>
        <v>0</v>
      </c>
      <c r="Y16" s="56" t="n">
        <f aca="false">IF(23=Assumptions!$F$29,MAX(0,Construction!$C$5*Assumptions!$F$28-(Y13+Y14)),0)</f>
        <v>0</v>
      </c>
      <c r="Z16" s="56" t="n">
        <f aca="false">IF(24=Assumptions!$F$29,MAX(0,Construction!$C$5*Assumptions!$F$28-(Z13+Z14)),0)</f>
        <v>0</v>
      </c>
      <c r="AA16" s="56" t="n">
        <f aca="false">IF(25=Assumptions!$F$29,MAX(0,Construction!$C$5*Assumptions!$F$28-(AA13+AA14)),0)</f>
        <v>0</v>
      </c>
      <c r="AB16" s="56" t="n">
        <f aca="false">IF(26=Assumptions!$F$29,MAX(0,Construction!$C$5*Assumptions!$F$28-(AB13+AB14)),0)</f>
        <v>0</v>
      </c>
      <c r="AC16" s="56" t="n">
        <f aca="false">IF(27=Assumptions!$F$29,MAX(0,Construction!$C$5*Assumptions!$F$28-(AC13+AC14)),0)</f>
        <v>0</v>
      </c>
      <c r="AD16" s="56" t="n">
        <f aca="false">IF(28=Assumptions!$F$29,MAX(0,Construction!$C$5*Assumptions!$F$28-(AD13+AD14)),0)</f>
        <v>0</v>
      </c>
      <c r="AE16" s="56" t="n">
        <f aca="false">IF(29=Assumptions!$F$29,MAX(0,Construction!$C$5*Assumptions!$F$28-(AE13+AE14)),0)</f>
        <v>0</v>
      </c>
      <c r="AF16" s="56" t="n">
        <f aca="false">IF(30=Assumptions!$F$29,MAX(0,Construction!$C$5*Assumptions!$F$28-(AF13+AF14)),0)</f>
        <v>0</v>
      </c>
    </row>
    <row r="17" customFormat="false" ht="15" hidden="false" customHeight="true" outlineLevel="0" collapsed="false">
      <c r="B17" s="45" t="s">
        <v>241</v>
      </c>
      <c r="C17" s="57" t="n">
        <f aca="false">C13+C14-C15</f>
        <v>690000</v>
      </c>
      <c r="D17" s="57" t="n">
        <f aca="false">D13+D14-D15</f>
        <v>1380000</v>
      </c>
      <c r="E17" s="57" t="n">
        <f aca="false">E13+E14-E15</f>
        <v>2070000</v>
      </c>
      <c r="F17" s="57" t="n">
        <f aca="false">F13+F14-F15</f>
        <v>2760000</v>
      </c>
      <c r="G17" s="57" t="n">
        <f aca="false">G13+G14-G15</f>
        <v>3450000</v>
      </c>
      <c r="H17" s="57" t="n">
        <f aca="false">H13+H14-H15</f>
        <v>4140000</v>
      </c>
      <c r="I17" s="57" t="n">
        <f aca="false">I13+I14-I15</f>
        <v>4830000</v>
      </c>
      <c r="J17" s="57" t="n">
        <f aca="false">J13+J14-J15</f>
        <v>5520000</v>
      </c>
      <c r="K17" s="57" t="n">
        <f aca="false">K13+K14-K15</f>
        <v>6210000</v>
      </c>
      <c r="L17" s="57" t="n">
        <f aca="false">L13+L14-L15</f>
        <v>6900000</v>
      </c>
      <c r="M17" s="57" t="n">
        <f aca="false">M13+M14-M15</f>
        <v>7590000</v>
      </c>
      <c r="N17" s="57" t="n">
        <f aca="false">N13+N14-N15</f>
        <v>8280000</v>
      </c>
      <c r="O17" s="57" t="n">
        <f aca="false">O13+O14-O15</f>
        <v>8970000</v>
      </c>
      <c r="P17" s="57" t="n">
        <f aca="false">P13+P14-P15</f>
        <v>9660000</v>
      </c>
      <c r="Q17" s="57" t="n">
        <f aca="false">Q13+Q14-Q15</f>
        <v>10350000</v>
      </c>
      <c r="R17" s="57" t="n">
        <f aca="false">R13+R14-R15</f>
        <v>0</v>
      </c>
      <c r="S17" s="57" t="n">
        <f aca="false">S13+S14-S15</f>
        <v>690000</v>
      </c>
      <c r="T17" s="57" t="n">
        <f aca="false">T13+T14-T15</f>
        <v>1380000</v>
      </c>
      <c r="U17" s="57" t="n">
        <f aca="false">U13+U14-U15</f>
        <v>2070000</v>
      </c>
      <c r="V17" s="57" t="n">
        <f aca="false">V13+V14-V15</f>
        <v>2760000</v>
      </c>
      <c r="W17" s="57" t="n">
        <f aca="false">W13+W14-W15</f>
        <v>3450000</v>
      </c>
      <c r="X17" s="57" t="n">
        <f aca="false">X13+X14-X15</f>
        <v>4140000</v>
      </c>
      <c r="Y17" s="57" t="n">
        <f aca="false">Y13+Y14-Y15</f>
        <v>4830000</v>
      </c>
      <c r="Z17" s="57" t="n">
        <f aca="false">Z13+Z14-Z15</f>
        <v>5520000</v>
      </c>
      <c r="AA17" s="57" t="n">
        <f aca="false">AA13+AA14-AA15</f>
        <v>6210000</v>
      </c>
      <c r="AB17" s="57" t="n">
        <f aca="false">AB13+AB14-AB15</f>
        <v>6900000</v>
      </c>
      <c r="AC17" s="57" t="n">
        <f aca="false">AC13+AC14-AC15</f>
        <v>7590000</v>
      </c>
      <c r="AD17" s="57" t="n">
        <f aca="false">AD13+AD14-AD15</f>
        <v>8280000</v>
      </c>
      <c r="AE17" s="57" t="n">
        <f aca="false">AE13+AE14-AE15</f>
        <v>8970000</v>
      </c>
      <c r="AF17" s="57" t="n">
        <f aca="false">AF13+AF14-AF15</f>
        <v>9660000</v>
      </c>
    </row>
  </sheetData>
  <mergeCells count="4">
    <mergeCell ref="B1:F1"/>
    <mergeCell ref="A3:AF3"/>
    <mergeCell ref="A6:AF6"/>
    <mergeCell ref="A12:AF1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28B22"/>
    <pageSetUpPr fitToPage="false"/>
  </sheetPr>
  <dimension ref="A1:BD5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34"/>
    <col collapsed="false" customWidth="true" hidden="false" outlineLevel="0" max="3" min="3" style="1" width="20"/>
    <col collapsed="false" customWidth="true" hidden="false" outlineLevel="0" max="39" min="4" style="1" width="11"/>
  </cols>
  <sheetData>
    <row r="1" customFormat="false" ht="17.25" hidden="false" customHeight="true" outlineLevel="0" collapsed="false">
      <c r="B1" s="19" t="s">
        <v>242</v>
      </c>
      <c r="C1" s="19"/>
      <c r="D1" s="19"/>
      <c r="E1" s="19"/>
    </row>
    <row r="2" customFormat="false" ht="15" hidden="false" customHeight="true" outlineLevel="0" collapsed="false">
      <c r="B2" s="75" t="str">
        <f aca="false">CONCATENATE("Active Scenario: ",Cover!$B$7)</f>
        <v>Active Scenario: Base Case</v>
      </c>
      <c r="C2" s="75"/>
      <c r="D2" s="75"/>
      <c r="E2" s="75"/>
    </row>
    <row r="4" customFormat="false" ht="15" hidden="false" customHeight="true" outlineLevel="0" collapsed="false">
      <c r="A4" s="9" t="s">
        <v>243</v>
      </c>
      <c r="B4" s="9"/>
      <c r="C4" s="9"/>
      <c r="D4" s="9"/>
      <c r="E4" s="9"/>
      <c r="F4" s="9"/>
    </row>
    <row r="5" customFormat="false" ht="15" hidden="false" customHeight="true" outlineLevel="0" collapsed="false">
      <c r="B5" s="16" t="s">
        <v>244</v>
      </c>
      <c r="C5" s="76" t="n">
        <f aca="false">IFERROR(XIRR(EqCF_range,EqDate_range),"n/a")</f>
        <v>-0.115163194091274</v>
      </c>
    </row>
    <row r="6" customFormat="false" ht="15" hidden="false" customHeight="true" outlineLevel="0" collapsed="false">
      <c r="B6" s="16" t="s">
        <v>245</v>
      </c>
      <c r="C6" s="77" t="n">
        <f aca="false">IFERROR(XNPV($A$52,EqCF_range,EqDate_range),"n/a")</f>
        <v>-268842064.449368</v>
      </c>
    </row>
    <row r="7" customFormat="false" ht="15" hidden="false" customHeight="true" outlineLevel="0" collapsed="false">
      <c r="B7" s="16" t="s">
        <v>246</v>
      </c>
      <c r="C7" s="78" t="n">
        <f aca="false">SUM(EqCF_pos_range)/ -SUM(EqCF_neg_range)</f>
        <v>0.265500962307018</v>
      </c>
    </row>
    <row r="8" customFormat="false" ht="15" hidden="false" customHeight="true" outlineLevel="0" collapsed="false">
      <c r="B8" s="16" t="s">
        <v>247</v>
      </c>
      <c r="C8" s="78" t="n">
        <f aca="false">MIN('Debt &amp; Financing'!C28:AF28)</f>
        <v>1.35</v>
      </c>
    </row>
    <row r="9" customFormat="false" ht="15" hidden="false" customHeight="true" outlineLevel="0" collapsed="false">
      <c r="B9" s="16" t="s">
        <v>248</v>
      </c>
      <c r="C9" s="78" t="n">
        <f aca="false">AVERAGE('Debt &amp; Financing'!C28:AF28)</f>
        <v>1.35</v>
      </c>
    </row>
    <row r="10" customFormat="false" ht="15" hidden="false" customHeight="true" outlineLevel="0" collapsed="false">
      <c r="B10" s="16" t="s">
        <v>249</v>
      </c>
      <c r="C10" s="76" t="n">
        <f aca="false">'Debt &amp; Financing'!C19</f>
        <v>0.358303183788256</v>
      </c>
    </row>
    <row r="11" customFormat="false" ht="15" hidden="false" customHeight="true" outlineLevel="0" collapsed="false">
      <c r="B11" s="16" t="s">
        <v>250</v>
      </c>
      <c r="C11" s="77" t="n">
        <f aca="false">Construction!C31</f>
        <v>507858475.601854</v>
      </c>
    </row>
    <row r="12" customFormat="false" ht="15" hidden="false" customHeight="true" outlineLevel="0" collapsed="false">
      <c r="B12" s="16" t="s">
        <v>15</v>
      </c>
      <c r="C12" s="79" t="n">
        <f aca="false">Assumptions!F56</f>
        <v>46935</v>
      </c>
    </row>
    <row r="14" customFormat="false" ht="15" hidden="false" customHeight="true" outlineLevel="0" collapsed="false">
      <c r="A14" s="9" t="s">
        <v>251</v>
      </c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  <c r="AH14" s="9"/>
      <c r="AI14" s="9"/>
      <c r="AJ14" s="9"/>
      <c r="AK14" s="9"/>
      <c r="AL14" s="9"/>
      <c r="AM14" s="9"/>
      <c r="AN14" s="9"/>
    </row>
    <row r="15" customFormat="false" ht="15" hidden="false" customHeight="true" outlineLevel="0" collapsed="false">
      <c r="B15" s="45" t="s">
        <v>252</v>
      </c>
      <c r="C15" s="48" t="n">
        <f aca="false">'Timing &amp; Calendar'!C$5</f>
        <v>46204</v>
      </c>
      <c r="D15" s="48" t="n">
        <f aca="false">'Timing &amp; Calendar'!D$5</f>
        <v>46235</v>
      </c>
      <c r="E15" s="48" t="n">
        <f aca="false">'Timing &amp; Calendar'!E$5</f>
        <v>46266</v>
      </c>
      <c r="F15" s="48" t="n">
        <f aca="false">'Timing &amp; Calendar'!F$5</f>
        <v>46296</v>
      </c>
      <c r="G15" s="48" t="n">
        <f aca="false">'Timing &amp; Calendar'!G$5</f>
        <v>46327</v>
      </c>
      <c r="H15" s="48" t="n">
        <f aca="false">'Timing &amp; Calendar'!H$5</f>
        <v>46357</v>
      </c>
      <c r="I15" s="48" t="n">
        <f aca="false">'Timing &amp; Calendar'!I$5</f>
        <v>46388</v>
      </c>
      <c r="J15" s="48" t="n">
        <f aca="false">'Timing &amp; Calendar'!J$5</f>
        <v>46419</v>
      </c>
      <c r="K15" s="48" t="n">
        <f aca="false">'Timing &amp; Calendar'!K$5</f>
        <v>46447</v>
      </c>
      <c r="L15" s="48" t="n">
        <f aca="false">'Timing &amp; Calendar'!L$5</f>
        <v>46478</v>
      </c>
      <c r="M15" s="48" t="n">
        <f aca="false">'Timing &amp; Calendar'!M$5</f>
        <v>46508</v>
      </c>
      <c r="N15" s="48" t="n">
        <f aca="false">'Timing &amp; Calendar'!N$5</f>
        <v>46539</v>
      </c>
      <c r="O15" s="48" t="n">
        <f aca="false">'Timing &amp; Calendar'!O$5</f>
        <v>46569</v>
      </c>
      <c r="P15" s="48" t="n">
        <f aca="false">'Timing &amp; Calendar'!P$5</f>
        <v>46600</v>
      </c>
      <c r="Q15" s="48" t="n">
        <f aca="false">'Timing &amp; Calendar'!Q$5</f>
        <v>46631</v>
      </c>
      <c r="R15" s="48" t="n">
        <f aca="false">'Timing &amp; Calendar'!R$5</f>
        <v>46661</v>
      </c>
      <c r="S15" s="48" t="n">
        <f aca="false">'Timing &amp; Calendar'!S$5</f>
        <v>46692</v>
      </c>
      <c r="T15" s="48" t="n">
        <f aca="false">'Timing &amp; Calendar'!T$5</f>
        <v>46722</v>
      </c>
      <c r="U15" s="48" t="n">
        <f aca="false">'Timing &amp; Calendar'!U$5</f>
        <v>46753</v>
      </c>
      <c r="V15" s="48" t="n">
        <f aca="false">'Timing &amp; Calendar'!V$5</f>
        <v>46784</v>
      </c>
      <c r="W15" s="48" t="n">
        <f aca="false">'Timing &amp; Calendar'!W$5</f>
        <v>46813</v>
      </c>
      <c r="X15" s="48" t="n">
        <f aca="false">'Timing &amp; Calendar'!X$5</f>
        <v>46844</v>
      </c>
      <c r="Y15" s="48" t="n">
        <f aca="false">'Timing &amp; Calendar'!Y$5</f>
        <v>46874</v>
      </c>
      <c r="Z15" s="48" t="n">
        <f aca="false">'Timing &amp; Calendar'!Z$5</f>
        <v>46905</v>
      </c>
      <c r="AA15" s="48" t="n">
        <f aca="false">'Timing &amp; Calendar'!C$12</f>
        <v>47118</v>
      </c>
      <c r="AB15" s="48" t="n">
        <f aca="false">'Timing &amp; Calendar'!D$12</f>
        <v>47299</v>
      </c>
      <c r="AC15" s="48" t="n">
        <f aca="false">'Timing &amp; Calendar'!E$12</f>
        <v>47483</v>
      </c>
      <c r="AD15" s="48" t="n">
        <f aca="false">'Timing &amp; Calendar'!F$12</f>
        <v>47664</v>
      </c>
      <c r="AE15" s="48" t="n">
        <f aca="false">'Timing &amp; Calendar'!G$12</f>
        <v>47848</v>
      </c>
      <c r="AF15" s="48" t="n">
        <f aca="false">'Timing &amp; Calendar'!H$12</f>
        <v>48029</v>
      </c>
      <c r="AG15" s="48" t="n">
        <f aca="false">'Timing &amp; Calendar'!I$12</f>
        <v>48213</v>
      </c>
      <c r="AH15" s="48" t="n">
        <f aca="false">'Timing &amp; Calendar'!J$12</f>
        <v>48395</v>
      </c>
      <c r="AI15" s="48" t="n">
        <f aca="false">'Timing &amp; Calendar'!K$12</f>
        <v>48579</v>
      </c>
      <c r="AJ15" s="48" t="n">
        <f aca="false">'Timing &amp; Calendar'!L$12</f>
        <v>48760</v>
      </c>
      <c r="AK15" s="48" t="n">
        <f aca="false">'Timing &amp; Calendar'!M$12</f>
        <v>48944</v>
      </c>
      <c r="AL15" s="48" t="n">
        <f aca="false">'Timing &amp; Calendar'!N$12</f>
        <v>49125</v>
      </c>
      <c r="AM15" s="48" t="n">
        <f aca="false">'Timing &amp; Calendar'!O$12</f>
        <v>49309</v>
      </c>
      <c r="AN15" s="48" t="n">
        <f aca="false">'Timing &amp; Calendar'!P$12</f>
        <v>49490</v>
      </c>
      <c r="AO15" s="48" t="n">
        <f aca="false">'Timing &amp; Calendar'!Q$12</f>
        <v>49674</v>
      </c>
      <c r="AP15" s="48" t="n">
        <f aca="false">'Timing &amp; Calendar'!R$12</f>
        <v>49856</v>
      </c>
      <c r="AQ15" s="48" t="n">
        <f aca="false">'Timing &amp; Calendar'!S$12</f>
        <v>50040</v>
      </c>
      <c r="AR15" s="48" t="n">
        <f aca="false">'Timing &amp; Calendar'!T$12</f>
        <v>50221</v>
      </c>
      <c r="AS15" s="48" t="n">
        <f aca="false">'Timing &amp; Calendar'!U$12</f>
        <v>50405</v>
      </c>
      <c r="AT15" s="48" t="n">
        <f aca="false">'Timing &amp; Calendar'!V$12</f>
        <v>50586</v>
      </c>
      <c r="AU15" s="48" t="n">
        <f aca="false">'Timing &amp; Calendar'!W$12</f>
        <v>50770</v>
      </c>
      <c r="AV15" s="48" t="n">
        <f aca="false">'Timing &amp; Calendar'!X$12</f>
        <v>50951</v>
      </c>
      <c r="AW15" s="48" t="n">
        <f aca="false">'Timing &amp; Calendar'!Y$12</f>
        <v>51135</v>
      </c>
      <c r="AX15" s="48" t="n">
        <f aca="false">'Timing &amp; Calendar'!Z$12</f>
        <v>51317</v>
      </c>
      <c r="AY15" s="48" t="n">
        <f aca="false">'Timing &amp; Calendar'!AA$12</f>
        <v>51501</v>
      </c>
      <c r="AZ15" s="48" t="n">
        <f aca="false">'Timing &amp; Calendar'!AB$12</f>
        <v>51682</v>
      </c>
      <c r="BA15" s="48" t="n">
        <f aca="false">'Timing &amp; Calendar'!AC$12</f>
        <v>51866</v>
      </c>
      <c r="BB15" s="48" t="n">
        <f aca="false">'Timing &amp; Calendar'!AD$12</f>
        <v>52047</v>
      </c>
      <c r="BC15" s="48" t="n">
        <f aca="false">'Timing &amp; Calendar'!AE$12</f>
        <v>52231</v>
      </c>
      <c r="BD15" s="48" t="n">
        <f aca="false">'Timing &amp; Calendar'!AF$12</f>
        <v>52412</v>
      </c>
    </row>
    <row r="16" customFormat="false" ht="15" hidden="false" customHeight="true" outlineLevel="0" collapsed="false">
      <c r="B16" s="45" t="s">
        <v>253</v>
      </c>
      <c r="C16" s="56" t="n">
        <f aca="false">-Construction!C22</f>
        <v>-2863942.25204657</v>
      </c>
      <c r="D16" s="56" t="n">
        <f aca="false">-Construction!D22</f>
        <v>-5499550.39450633</v>
      </c>
      <c r="E16" s="56" t="n">
        <f aca="false">-Construction!E22</f>
        <v>-7905963.78198342</v>
      </c>
      <c r="F16" s="56" t="n">
        <f aca="false">-Construction!F22</f>
        <v>-10082321.769082</v>
      </c>
      <c r="G16" s="56" t="n">
        <f aca="false">-Construction!G22</f>
        <v>-12027763.7104061</v>
      </c>
      <c r="H16" s="56" t="n">
        <f aca="false">-Construction!H22</f>
        <v>-13741428.9605599</v>
      </c>
      <c r="I16" s="56" t="n">
        <f aca="false">-Construction!I22</f>
        <v>-15222456.8741476</v>
      </c>
      <c r="J16" s="56" t="n">
        <f aca="false">-Construction!J22</f>
        <v>-16469986.8057733</v>
      </c>
      <c r="K16" s="56" t="n">
        <f aca="false">-Construction!K22</f>
        <v>-17483158.1100412</v>
      </c>
      <c r="L16" s="56" t="n">
        <f aca="false">-Construction!L22</f>
        <v>-18261110.1415552</v>
      </c>
      <c r="M16" s="56" t="n">
        <f aca="false">-Construction!M22</f>
        <v>-18802982.2549197</v>
      </c>
      <c r="N16" s="56" t="n">
        <f aca="false">-Construction!N22</f>
        <v>-19107913.8047387</v>
      </c>
      <c r="O16" s="56" t="n">
        <f aca="false">-Construction!O22</f>
        <v>-19175044.1456163</v>
      </c>
      <c r="P16" s="56" t="n">
        <f aca="false">-Construction!P22</f>
        <v>-19003512.6321567</v>
      </c>
      <c r="Q16" s="56" t="n">
        <f aca="false">-Construction!Q22</f>
        <v>-18592458.618964</v>
      </c>
      <c r="R16" s="56" t="n">
        <f aca="false">-Construction!R22</f>
        <v>-17941021.4606424</v>
      </c>
      <c r="S16" s="56" t="n">
        <f aca="false">-Construction!S22</f>
        <v>-17048340.511796</v>
      </c>
      <c r="T16" s="56" t="n">
        <f aca="false">-Construction!T22</f>
        <v>-15913555.1270289</v>
      </c>
      <c r="U16" s="56" t="n">
        <f aca="false">-Construction!U22</f>
        <v>-14535804.6609452</v>
      </c>
      <c r="V16" s="56" t="n">
        <f aca="false">-Construction!V22</f>
        <v>-12914228.4681491</v>
      </c>
      <c r="W16" s="56" t="n">
        <f aca="false">-Construction!W22</f>
        <v>-11047965.9032448</v>
      </c>
      <c r="X16" s="56" t="n">
        <f aca="false">-Construction!X22</f>
        <v>-8936156.32083625</v>
      </c>
      <c r="Y16" s="56" t="n">
        <f aca="false">-Construction!Y22</f>
        <v>-6577939.07552772</v>
      </c>
      <c r="Z16" s="56" t="n">
        <f aca="false">-(Construction!Z22+Construction!$C$29+Construction!$C$30)</f>
        <v>-15464280.4555648</v>
      </c>
      <c r="AA16" s="56" t="n">
        <f aca="false">'Cash Flow Waterfall'!C24</f>
        <v>2245274.50740741</v>
      </c>
      <c r="AB16" s="56" t="n">
        <f aca="false">'Cash Flow Waterfall'!D24</f>
        <v>1599433.16063836</v>
      </c>
      <c r="AC16" s="56" t="n">
        <f aca="false">'Cash Flow Waterfall'!E24</f>
        <v>2424578.83033697</v>
      </c>
      <c r="AD16" s="56" t="n">
        <f aca="false">'Cash Flow Waterfall'!F24</f>
        <v>1994950.04746472</v>
      </c>
      <c r="AE16" s="56" t="n">
        <f aca="false">'Cash Flow Waterfall'!G24</f>
        <v>2635484.74290252</v>
      </c>
      <c r="AF16" s="56" t="n">
        <f aca="false">'Cash Flow Waterfall'!H24</f>
        <v>2666954.52323247</v>
      </c>
      <c r="AG16" s="56" t="n">
        <f aca="false">'Cash Flow Waterfall'!I24</f>
        <v>2695292.07571406</v>
      </c>
      <c r="AH16" s="56" t="n">
        <f aca="false">'Cash Flow Waterfall'!J24</f>
        <v>2726841.59889393</v>
      </c>
      <c r="AI16" s="56" t="n">
        <f aca="false">'Cash Flow Waterfall'!K24</f>
        <v>2756358.09074548</v>
      </c>
      <c r="AJ16" s="56" t="n">
        <f aca="false">'Cash Flow Waterfall'!L24</f>
        <v>2788987.48486778</v>
      </c>
      <c r="AK16" s="56" t="n">
        <f aca="false">'Cash Flow Waterfall'!M24</f>
        <v>2818369.32140256</v>
      </c>
      <c r="AL16" s="56" t="n">
        <f aca="false">'Cash Flow Waterfall'!N24</f>
        <v>2851593.8713058</v>
      </c>
      <c r="AM16" s="56" t="n">
        <f aca="false">'Cash Flow Waterfall'!O24</f>
        <v>2881511.67356487</v>
      </c>
      <c r="AN16" s="56" t="n">
        <f aca="false">'Cash Flow Waterfall'!P24</f>
        <v>2915342.4011811</v>
      </c>
      <c r="AO16" s="56" t="n">
        <f aca="false">'Cash Flow Waterfall'!Q24</f>
        <v>2945806.09584644</v>
      </c>
      <c r="AP16" s="56" t="n">
        <f aca="false">'Cash Flow Waterfall'!R24</f>
        <v>0</v>
      </c>
      <c r="AQ16" s="56" t="n">
        <f aca="false">'Cash Flow Waterfall'!S24</f>
        <v>3011454.92686733</v>
      </c>
      <c r="AR16" s="56" t="n">
        <f aca="false">'Cash Flow Waterfall'!T24</f>
        <v>3046533.64848062</v>
      </c>
      <c r="AS16" s="56" t="n">
        <f aca="false">'Cash Flow Waterfall'!U24</f>
        <v>3078121.22506131</v>
      </c>
      <c r="AT16" s="56" t="n">
        <f aca="false">'Cash Flow Waterfall'!V24</f>
        <v>3113840.4834195</v>
      </c>
      <c r="AU16" s="56" t="n">
        <f aca="false">'Cash Flow Waterfall'!W24</f>
        <v>3146004.89729212</v>
      </c>
      <c r="AV16" s="56" t="n">
        <f aca="false">'Cash Flow Waterfall'!X24</f>
        <v>5247171.63430212</v>
      </c>
      <c r="AW16" s="56" t="n">
        <f aca="false">'Cash Flow Waterfall'!Y24</f>
        <v>2518360.27654602</v>
      </c>
      <c r="AX16" s="56" t="n">
        <f aca="false">'Cash Flow Waterfall'!Z24</f>
        <v>3344320.30859178</v>
      </c>
      <c r="AY16" s="56" t="n">
        <f aca="false">'Cash Flow Waterfall'!AA24</f>
        <v>2291782.25907701</v>
      </c>
      <c r="AZ16" s="56" t="n">
        <f aca="false">'Cash Flow Waterfall'!AB24</f>
        <v>2320068.4342428</v>
      </c>
      <c r="BA16" s="56" t="n">
        <f aca="false">'Cash Flow Waterfall'!AC24</f>
        <v>2345539.63519318</v>
      </c>
      <c r="BB16" s="56" t="n">
        <f aca="false">'Cash Flow Waterfall'!AD24</f>
        <v>2374342.889538</v>
      </c>
      <c r="BC16" s="56" t="n">
        <f aca="false">'Cash Flow Waterfall'!AE24</f>
        <v>2400279.75085165</v>
      </c>
      <c r="BD16" s="56" t="n">
        <f aca="false">'Cash Flow Waterfall'!AF24</f>
        <v>11657037.5079163</v>
      </c>
    </row>
    <row r="51" customFormat="false" ht="15" hidden="false" customHeight="true" outlineLevel="0" collapsed="false">
      <c r="A51" s="47" t="s">
        <v>254</v>
      </c>
    </row>
    <row r="52" customFormat="false" ht="15" hidden="false" customHeight="true" outlineLevel="0" collapsed="false">
      <c r="A52" s="80" t="n">
        <f aca="false">Assumptions!$F$52</f>
        <v>0.12</v>
      </c>
    </row>
  </sheetData>
  <mergeCells count="4">
    <mergeCell ref="B1:E1"/>
    <mergeCell ref="B2:E2"/>
    <mergeCell ref="A4:F4"/>
    <mergeCell ref="A14:AN1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28B22"/>
    <pageSetUpPr fitToPage="false"/>
  </sheetPr>
  <dimension ref="A1:G3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34"/>
    <col collapsed="false" customWidth="true" hidden="false" outlineLevel="0" max="8" min="3" style="1" width="16"/>
  </cols>
  <sheetData>
    <row r="1" customFormat="false" ht="17.25" hidden="false" customHeight="true" outlineLevel="0" collapsed="false">
      <c r="B1" s="19" t="s">
        <v>255</v>
      </c>
      <c r="C1" s="19"/>
      <c r="D1" s="19"/>
      <c r="E1" s="19"/>
      <c r="F1" s="19"/>
      <c r="G1" s="19"/>
    </row>
    <row r="3" customFormat="false" ht="15" hidden="false" customHeight="true" outlineLevel="0" collapsed="false">
      <c r="A3" s="9" t="s">
        <v>256</v>
      </c>
      <c r="B3" s="9"/>
      <c r="C3" s="9"/>
      <c r="D3" s="9"/>
      <c r="E3" s="9"/>
      <c r="F3" s="9"/>
      <c r="G3" s="9"/>
    </row>
    <row r="4" customFormat="false" ht="21.75" hidden="false" customHeight="true" outlineLevel="0" collapsed="false">
      <c r="B4" s="81" t="s">
        <v>257</v>
      </c>
      <c r="C4" s="82" t="s">
        <v>258</v>
      </c>
    </row>
    <row r="5" customFormat="false" ht="15" hidden="false" customHeight="true" outlineLevel="0" collapsed="false">
      <c r="B5" s="47" t="s">
        <v>244</v>
      </c>
      <c r="C5" s="83" t="n">
        <f aca="false">'Outputs &amp; Dashboard'!C5</f>
        <v>-0.115163194091274</v>
      </c>
    </row>
    <row r="6" customFormat="false" ht="15" hidden="false" customHeight="true" outlineLevel="0" collapsed="false">
      <c r="B6" s="47" t="s">
        <v>259</v>
      </c>
      <c r="C6" s="64" t="n">
        <f aca="false">'Outputs &amp; Dashboard'!C6</f>
        <v>-268842064.449368</v>
      </c>
    </row>
    <row r="7" customFormat="false" ht="15" hidden="false" customHeight="true" outlineLevel="0" collapsed="false">
      <c r="B7" s="47" t="s">
        <v>246</v>
      </c>
      <c r="C7" s="74" t="n">
        <f aca="false">'Outputs &amp; Dashboard'!C7</f>
        <v>0.265500962307018</v>
      </c>
    </row>
    <row r="8" customFormat="false" ht="15" hidden="false" customHeight="true" outlineLevel="0" collapsed="false">
      <c r="B8" s="47" t="s">
        <v>260</v>
      </c>
      <c r="C8" s="74" t="n">
        <f aca="false">'Outputs &amp; Dashboard'!C8</f>
        <v>1.35</v>
      </c>
    </row>
    <row r="9" customFormat="false" ht="15" hidden="false" customHeight="true" outlineLevel="0" collapsed="false">
      <c r="B9" s="47" t="s">
        <v>249</v>
      </c>
      <c r="C9" s="83" t="n">
        <f aca="false">'Outputs &amp; Dashboard'!C10</f>
        <v>0.358303183788256</v>
      </c>
    </row>
    <row r="10" customFormat="false" ht="15" hidden="false" customHeight="true" outlineLevel="0" collapsed="false">
      <c r="B10" s="47" t="s">
        <v>250</v>
      </c>
      <c r="C10" s="64" t="n">
        <f aca="false">'Outputs &amp; Dashboard'!C11</f>
        <v>507858475.601854</v>
      </c>
    </row>
    <row r="12" customFormat="false" ht="15" hidden="false" customHeight="true" outlineLevel="0" collapsed="false">
      <c r="B12" s="84" t="s">
        <v>261</v>
      </c>
    </row>
    <row r="13" customFormat="false" ht="15" hidden="false" customHeight="true" outlineLevel="0" collapsed="false">
      <c r="B13" s="84" t="s">
        <v>262</v>
      </c>
    </row>
    <row r="15" customFormat="false" ht="15" hidden="false" customHeight="true" outlineLevel="0" collapsed="false">
      <c r="A15" s="9" t="s">
        <v>263</v>
      </c>
      <c r="B15" s="9"/>
      <c r="C15" s="9"/>
      <c r="D15" s="9"/>
      <c r="E15" s="9"/>
      <c r="F15" s="9"/>
      <c r="G15" s="9"/>
    </row>
    <row r="16" customFormat="false" ht="15" hidden="false" customHeight="true" outlineLevel="0" collapsed="false">
      <c r="B16" s="81" t="s">
        <v>264</v>
      </c>
      <c r="C16" s="81" t="s">
        <v>265</v>
      </c>
    </row>
    <row r="17" customFormat="false" ht="15" hidden="false" customHeight="true" outlineLevel="0" collapsed="false">
      <c r="B17" s="85" t="n">
        <v>-0.02</v>
      </c>
      <c r="C17" s="60" t="n">
        <f aca="false">'Outputs &amp; Dashboard'!$C$5-('Debt &amp; Financing'!$C$19*0.9*B17)</f>
        <v>-0.108713736783085</v>
      </c>
    </row>
    <row r="18" customFormat="false" ht="15" hidden="false" customHeight="true" outlineLevel="0" collapsed="false">
      <c r="B18" s="85" t="n">
        <v>-0.01</v>
      </c>
      <c r="C18" s="60" t="n">
        <f aca="false">'Outputs &amp; Dashboard'!$C$5-('Debt &amp; Financing'!$C$19*0.9*B18)</f>
        <v>-0.11193846543718</v>
      </c>
    </row>
    <row r="19" customFormat="false" ht="15" hidden="false" customHeight="true" outlineLevel="0" collapsed="false">
      <c r="B19" s="85" t="n">
        <v>0</v>
      </c>
      <c r="C19" s="60" t="n">
        <f aca="false">'Outputs &amp; Dashboard'!$C$5</f>
        <v>-0.115163194091274</v>
      </c>
    </row>
    <row r="20" customFormat="false" ht="15" hidden="false" customHeight="true" outlineLevel="0" collapsed="false">
      <c r="B20" s="85" t="n">
        <v>0.01</v>
      </c>
      <c r="C20" s="60" t="n">
        <f aca="false">'Outputs &amp; Dashboard'!$C$5-('Debt &amp; Financing'!$C$19*0.9*B20)</f>
        <v>-0.118387922745368</v>
      </c>
    </row>
    <row r="21" customFormat="false" ht="15" hidden="false" customHeight="true" outlineLevel="0" collapsed="false">
      <c r="B21" s="85" t="n">
        <v>0.02</v>
      </c>
      <c r="C21" s="60" t="n">
        <f aca="false">'Outputs &amp; Dashboard'!$C$5-('Debt &amp; Financing'!$C$19*0.9*B21)</f>
        <v>-0.121612651399462</v>
      </c>
    </row>
    <row r="22" customFormat="false" ht="15" hidden="false" customHeight="true" outlineLevel="0" collapsed="false">
      <c r="B22" s="86" t="s">
        <v>266</v>
      </c>
    </row>
    <row r="23" customFormat="false" ht="15" hidden="false" customHeight="true" outlineLevel="0" collapsed="false">
      <c r="B23" s="86" t="s">
        <v>267</v>
      </c>
    </row>
    <row r="25" customFormat="false" ht="15" hidden="false" customHeight="true" outlineLevel="0" collapsed="false">
      <c r="A25" s="9" t="s">
        <v>268</v>
      </c>
      <c r="B25" s="9"/>
      <c r="C25" s="9"/>
      <c r="D25" s="9"/>
      <c r="E25" s="9"/>
      <c r="F25" s="9"/>
      <c r="G25" s="9"/>
    </row>
    <row r="26" customFormat="false" ht="15" hidden="false" customHeight="true" outlineLevel="0" collapsed="false">
      <c r="B26" s="81" t="s">
        <v>269</v>
      </c>
      <c r="C26" s="81" t="s">
        <v>265</v>
      </c>
    </row>
    <row r="27" customFormat="false" ht="15" hidden="false" customHeight="true" outlineLevel="0" collapsed="false">
      <c r="B27" s="85" t="n">
        <v>-0.1</v>
      </c>
      <c r="C27" s="60" t="n">
        <f aca="false">'Outputs &amp; Dashboard'!$C$5-(1.6*B27)</f>
        <v>0.0448368059087262</v>
      </c>
    </row>
    <row r="28" customFormat="false" ht="15" hidden="false" customHeight="true" outlineLevel="0" collapsed="false">
      <c r="B28" s="85" t="n">
        <v>-0.05</v>
      </c>
      <c r="C28" s="60" t="n">
        <f aca="false">'Outputs &amp; Dashboard'!$C$5-(1.6*B28)</f>
        <v>-0.0351631940912739</v>
      </c>
    </row>
    <row r="29" customFormat="false" ht="15" hidden="false" customHeight="true" outlineLevel="0" collapsed="false">
      <c r="B29" s="85" t="n">
        <v>0</v>
      </c>
      <c r="C29" s="60" t="n">
        <f aca="false">'Outputs &amp; Dashboard'!$C$5</f>
        <v>-0.115163194091274</v>
      </c>
    </row>
    <row r="30" customFormat="false" ht="15" hidden="false" customHeight="true" outlineLevel="0" collapsed="false">
      <c r="B30" s="85" t="n">
        <v>0.05</v>
      </c>
      <c r="C30" s="60" t="n">
        <f aca="false">'Outputs &amp; Dashboard'!$C$5-(1.6*B30)</f>
        <v>-0.195163194091274</v>
      </c>
    </row>
    <row r="31" customFormat="false" ht="15" hidden="false" customHeight="true" outlineLevel="0" collapsed="false">
      <c r="B31" s="85" t="n">
        <v>0.1</v>
      </c>
      <c r="C31" s="60" t="n">
        <f aca="false">'Outputs &amp; Dashboard'!$C$5-(1.6*B31)</f>
        <v>-0.275163194091274</v>
      </c>
    </row>
    <row r="32" customFormat="false" ht="15" hidden="false" customHeight="true" outlineLevel="0" collapsed="false">
      <c r="B32" s="86" t="s">
        <v>270</v>
      </c>
    </row>
    <row r="33" customFormat="false" ht="15" hidden="false" customHeight="true" outlineLevel="0" collapsed="false">
      <c r="B33" s="86" t="s">
        <v>271</v>
      </c>
    </row>
    <row r="35" customFormat="false" ht="15" hidden="false" customHeight="true" outlineLevel="0" collapsed="false">
      <c r="B35" s="45" t="s">
        <v>272</v>
      </c>
    </row>
    <row r="36" customFormat="false" ht="15" hidden="false" customHeight="true" outlineLevel="0" collapsed="false">
      <c r="B36" s="45" t="s">
        <v>273</v>
      </c>
    </row>
  </sheetData>
  <mergeCells count="4">
    <mergeCell ref="B1:G1"/>
    <mergeCell ref="A3:G3"/>
    <mergeCell ref="A15:G15"/>
    <mergeCell ref="A25:G2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28B22"/>
    <pageSetUpPr fitToPage="false"/>
  </sheetPr>
  <dimension ref="A1:D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46"/>
    <col collapsed="false" customWidth="true" hidden="false" outlineLevel="0" max="3" min="3" style="1" width="16"/>
    <col collapsed="false" customWidth="true" hidden="false" outlineLevel="0" max="4" min="4" style="1" width="60"/>
  </cols>
  <sheetData>
    <row r="1" customFormat="false" ht="17.25" hidden="false" customHeight="true" outlineLevel="0" collapsed="false">
      <c r="B1" s="19" t="s">
        <v>274</v>
      </c>
      <c r="C1" s="19"/>
      <c r="D1" s="19"/>
    </row>
    <row r="2" customFormat="false" ht="15" hidden="false" customHeight="true" outlineLevel="0" collapsed="false">
      <c r="B2" s="75" t="str">
        <f aca="false">CONCATENATE("Active Scenario: ",Cover!$B$7)</f>
        <v>Active Scenario: Base Case</v>
      </c>
      <c r="C2" s="75"/>
      <c r="D2" s="75"/>
    </row>
    <row r="4" customFormat="false" ht="15" hidden="false" customHeight="true" outlineLevel="0" collapsed="false">
      <c r="B4" s="87" t="s">
        <v>275</v>
      </c>
      <c r="C4" s="87" t="s">
        <v>276</v>
      </c>
      <c r="D4" s="87" t="s">
        <v>277</v>
      </c>
    </row>
    <row r="5" customFormat="false" ht="15" hidden="false" customHeight="true" outlineLevel="0" collapsed="false">
      <c r="B5" s="88" t="s">
        <v>278</v>
      </c>
      <c r="C5" s="89" t="str">
        <f aca="false">Construction!C32</f>
        <v>OK</v>
      </c>
      <c r="D5" s="90" t="s">
        <v>279</v>
      </c>
    </row>
    <row r="6" customFormat="false" ht="15" hidden="false" customHeight="true" outlineLevel="0" collapsed="false">
      <c r="B6" s="88" t="s">
        <v>280</v>
      </c>
      <c r="C6" s="89" t="str">
        <f aca="false">'Debt &amp; Financing'!C31</f>
        <v>OK</v>
      </c>
      <c r="D6" s="90" t="s">
        <v>281</v>
      </c>
    </row>
    <row r="7" customFormat="false" ht="15" hidden="false" customHeight="true" outlineLevel="0" collapsed="false">
      <c r="B7" s="88" t="s">
        <v>282</v>
      </c>
      <c r="C7" s="89" t="str">
        <f aca="false">'Debt &amp; Financing'!C32</f>
        <v>OK</v>
      </c>
      <c r="D7" s="90" t="s">
        <v>283</v>
      </c>
    </row>
    <row r="8" customFormat="false" ht="15" hidden="false" customHeight="true" outlineLevel="0" collapsed="false">
      <c r="B8" s="88" t="s">
        <v>284</v>
      </c>
      <c r="C8" s="89" t="str">
        <f aca="false">'Cash Flow Waterfall'!C25</f>
        <v>OK</v>
      </c>
      <c r="D8" s="90" t="s">
        <v>285</v>
      </c>
    </row>
    <row r="9" customFormat="false" ht="21.75" hidden="false" customHeight="true" outlineLevel="0" collapsed="false">
      <c r="B9" s="88" t="s">
        <v>286</v>
      </c>
      <c r="C9" s="89" t="str">
        <f aca="false">IF(Assumptions!$F$45=1,"OK (breaker ON — non-circular)","CHECK: breaker OFF, verify iterative calc enabled")</f>
        <v>OK (breaker ON — non-circular)</v>
      </c>
      <c r="D9" s="90" t="s">
        <v>287</v>
      </c>
    </row>
    <row r="10" customFormat="false" ht="15" hidden="false" customHeight="true" outlineLevel="0" collapsed="false">
      <c r="B10" s="88" t="s">
        <v>288</v>
      </c>
      <c r="C10" s="89" t="str">
        <f aca="false">IF(EDATE(Assumptions!$F$55,Assumptions!$F$57)=Assumptions!$F$56,"OK","ERROR")</f>
        <v>OK</v>
      </c>
      <c r="D10" s="90" t="s">
        <v>289</v>
      </c>
    </row>
    <row r="11" customFormat="false" ht="15" hidden="false" customHeight="true" outlineLevel="0" collapsed="false">
      <c r="B11" s="88" t="s">
        <v>290</v>
      </c>
      <c r="C11" s="89" t="str">
        <f aca="false">IF('Timing &amp; Calendar'!AF11-'Timing &amp; Calendar'!C11&lt;5480,"OK","CHECK")</f>
        <v>OK</v>
      </c>
      <c r="D11" s="90" t="s">
        <v>291</v>
      </c>
    </row>
    <row r="12" customFormat="false" ht="21.75" hidden="false" customHeight="true" outlineLevel="0" collapsed="false">
      <c r="B12" s="88" t="s">
        <v>292</v>
      </c>
      <c r="C12" s="91" t="n">
        <f aca="false">'Debt &amp; Financing'!C19</f>
        <v>0.358303183788256</v>
      </c>
      <c r="D12" s="90" t="s">
        <v>293</v>
      </c>
    </row>
    <row r="13" customFormat="false" ht="21.75" hidden="false" customHeight="true" outlineLevel="0" collapsed="false">
      <c r="B13" s="88" t="s">
        <v>294</v>
      </c>
      <c r="C13" s="89" t="str">
        <f aca="false">IF(Assumptions!$C$3=Cover!$B$7,"OK","ERROR")</f>
        <v>OK</v>
      </c>
      <c r="D13" s="90" t="s">
        <v>295</v>
      </c>
    </row>
    <row r="14" customFormat="false" ht="21.75" hidden="false" customHeight="true" outlineLevel="0" collapsed="false">
      <c r="B14" s="88" t="s">
        <v>296</v>
      </c>
      <c r="C14" s="89" t="str">
        <f aca="false">"OK — see Note 1 below"</f>
        <v>OK — see Note 1 below</v>
      </c>
      <c r="D14" s="90" t="s">
        <v>297</v>
      </c>
    </row>
    <row r="16" customFormat="false" ht="15.75" hidden="false" customHeight="true" outlineLevel="0" collapsed="false">
      <c r="B16" s="92" t="s">
        <v>298</v>
      </c>
      <c r="C16" s="93" t="str">
        <f aca="false">IF(COUNTIF(C5:C14,"ERROR")=0,"ALL CHECKS PASS","REVIEW REQUIRED — SEE ERROR ROWS ABOVE")</f>
        <v>ALL CHECKS PASS</v>
      </c>
    </row>
    <row r="18" customFormat="false" ht="15" hidden="false" customHeight="true" outlineLevel="0" collapsed="false">
      <c r="A18" s="9" t="s">
        <v>299</v>
      </c>
      <c r="B18" s="9"/>
      <c r="C18" s="9"/>
      <c r="D18" s="9"/>
    </row>
    <row r="19" customFormat="false" ht="60" hidden="false" customHeight="true" outlineLevel="0" collapsed="false">
      <c r="B19" s="94" t="s">
        <v>300</v>
      </c>
      <c r="C19" s="94"/>
      <c r="D19" s="94"/>
    </row>
    <row r="20" customFormat="false" ht="13.5" hidden="false" customHeight="true" outlineLevel="0" collapsed="false">
      <c r="B20" s="94"/>
      <c r="C20" s="94"/>
      <c r="D20" s="94"/>
    </row>
    <row r="21" customFormat="false" ht="60" hidden="false" customHeight="true" outlineLevel="0" collapsed="false">
      <c r="B21" s="94" t="s">
        <v>301</v>
      </c>
      <c r="C21" s="94"/>
      <c r="D21" s="94"/>
    </row>
    <row r="22" customFormat="false" ht="13.5" hidden="false" customHeight="true" outlineLevel="0" collapsed="false">
      <c r="B22" s="94"/>
      <c r="C22" s="94"/>
      <c r="D22" s="94"/>
    </row>
    <row r="23" customFormat="false" ht="60" hidden="false" customHeight="true" outlineLevel="0" collapsed="false">
      <c r="B23" s="94" t="s">
        <v>302</v>
      </c>
      <c r="C23" s="94"/>
      <c r="D23" s="94"/>
    </row>
    <row r="24" customFormat="false" ht="13.5" hidden="false" customHeight="true" outlineLevel="0" collapsed="false">
      <c r="B24" s="94"/>
      <c r="C24" s="94"/>
      <c r="D24" s="94"/>
    </row>
    <row r="25" customFormat="false" ht="60" hidden="false" customHeight="true" outlineLevel="0" collapsed="false">
      <c r="B25" s="94" t="s">
        <v>303</v>
      </c>
      <c r="C25" s="94"/>
      <c r="D25" s="94"/>
    </row>
    <row r="26" customFormat="false" ht="13.5" hidden="false" customHeight="true" outlineLevel="0" collapsed="false">
      <c r="B26" s="94"/>
      <c r="C26" s="94"/>
      <c r="D26" s="94"/>
    </row>
    <row r="27" customFormat="false" ht="60" hidden="false" customHeight="true" outlineLevel="0" collapsed="false">
      <c r="B27" s="94" t="s">
        <v>304</v>
      </c>
      <c r="C27" s="94"/>
      <c r="D27" s="94"/>
    </row>
    <row r="28" customFormat="false" ht="13.5" hidden="false" customHeight="true" outlineLevel="0" collapsed="false">
      <c r="B28" s="94"/>
      <c r="C28" s="94"/>
      <c r="D28" s="94"/>
    </row>
    <row r="29" customFormat="false" ht="60" hidden="false" customHeight="true" outlineLevel="0" collapsed="false">
      <c r="B29" s="94" t="s">
        <v>305</v>
      </c>
      <c r="C29" s="94"/>
      <c r="D29" s="94"/>
    </row>
  </sheetData>
  <mergeCells count="14">
    <mergeCell ref="B1:D1"/>
    <mergeCell ref="B2:D2"/>
    <mergeCell ref="A18:D18"/>
    <mergeCell ref="B19:D19"/>
    <mergeCell ref="B20:D20"/>
    <mergeCell ref="B21:D21"/>
    <mergeCell ref="B22:D22"/>
    <mergeCell ref="B23:D23"/>
    <mergeCell ref="B24:D24"/>
    <mergeCell ref="B25:D25"/>
    <mergeCell ref="B26:D26"/>
    <mergeCell ref="B27:D27"/>
    <mergeCell ref="B28:D28"/>
    <mergeCell ref="B29:D2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28B22"/>
    <pageSetUpPr fitToPage="false"/>
  </sheetPr>
  <dimension ref="A1:C3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24"/>
    <col collapsed="false" customWidth="true" hidden="false" outlineLevel="0" max="3" min="3" style="1" width="90"/>
  </cols>
  <sheetData>
    <row r="1" customFormat="false" ht="17.25" hidden="false" customHeight="true" outlineLevel="0" collapsed="false">
      <c r="B1" s="19" t="s">
        <v>306</v>
      </c>
      <c r="C1" s="19"/>
    </row>
    <row r="3" customFormat="false" ht="15" hidden="false" customHeight="true" outlineLevel="0" collapsed="false">
      <c r="A3" s="9" t="s">
        <v>307</v>
      </c>
      <c r="B3" s="9"/>
      <c r="C3" s="9"/>
    </row>
    <row r="4" customFormat="false" ht="30" hidden="false" customHeight="true" outlineLevel="0" collapsed="false">
      <c r="B4" s="17" t="s">
        <v>308</v>
      </c>
      <c r="C4" s="95" t="s">
        <v>309</v>
      </c>
    </row>
    <row r="5" customFormat="false" ht="30" hidden="false" customHeight="true" outlineLevel="0" collapsed="false">
      <c r="B5" s="17" t="s">
        <v>310</v>
      </c>
      <c r="C5" s="95" t="s">
        <v>311</v>
      </c>
    </row>
    <row r="6" customFormat="false" ht="30" hidden="false" customHeight="true" outlineLevel="0" collapsed="false">
      <c r="B6" s="17" t="s">
        <v>312</v>
      </c>
      <c r="C6" s="95" t="s">
        <v>313</v>
      </c>
    </row>
    <row r="7" customFormat="false" ht="30" hidden="false" customHeight="true" outlineLevel="0" collapsed="false">
      <c r="B7" s="17" t="s">
        <v>314</v>
      </c>
      <c r="C7" s="95" t="s">
        <v>315</v>
      </c>
    </row>
    <row r="8" customFormat="false" ht="30" hidden="false" customHeight="true" outlineLevel="0" collapsed="false">
      <c r="B8" s="17" t="s">
        <v>316</v>
      </c>
      <c r="C8" s="95" t="s">
        <v>317</v>
      </c>
    </row>
    <row r="9" customFormat="false" ht="30" hidden="false" customHeight="true" outlineLevel="0" collapsed="false">
      <c r="B9" s="17" t="s">
        <v>318</v>
      </c>
      <c r="C9" s="95" t="s">
        <v>319</v>
      </c>
    </row>
    <row r="10" customFormat="false" ht="30" hidden="false" customHeight="true" outlineLevel="0" collapsed="false">
      <c r="B10" s="17" t="s">
        <v>320</v>
      </c>
      <c r="C10" s="95" t="s">
        <v>321</v>
      </c>
    </row>
    <row r="11" customFormat="false" ht="30" hidden="false" customHeight="true" outlineLevel="0" collapsed="false">
      <c r="B11" s="17" t="s">
        <v>322</v>
      </c>
      <c r="C11" s="95" t="s">
        <v>323</v>
      </c>
    </row>
    <row r="12" customFormat="false" ht="30" hidden="false" customHeight="true" outlineLevel="0" collapsed="false">
      <c r="B12" s="17" t="s">
        <v>324</v>
      </c>
      <c r="C12" s="95" t="s">
        <v>325</v>
      </c>
    </row>
    <row r="13" customFormat="false" ht="30" hidden="false" customHeight="true" outlineLevel="0" collapsed="false">
      <c r="B13" s="17" t="s">
        <v>326</v>
      </c>
      <c r="C13" s="95" t="s">
        <v>327</v>
      </c>
    </row>
    <row r="14" customFormat="false" ht="30" hidden="false" customHeight="true" outlineLevel="0" collapsed="false">
      <c r="B14" s="17" t="s">
        <v>328</v>
      </c>
      <c r="C14" s="95" t="s">
        <v>329</v>
      </c>
    </row>
    <row r="15" customFormat="false" ht="30" hidden="false" customHeight="true" outlineLevel="0" collapsed="false">
      <c r="B15" s="17" t="s">
        <v>69</v>
      </c>
      <c r="C15" s="95" t="s">
        <v>330</v>
      </c>
    </row>
    <row r="16" customFormat="false" ht="30" hidden="false" customHeight="true" outlineLevel="0" collapsed="false">
      <c r="B16" s="17" t="s">
        <v>331</v>
      </c>
      <c r="C16" s="95" t="s">
        <v>332</v>
      </c>
    </row>
    <row r="17" customFormat="false" ht="30" hidden="false" customHeight="true" outlineLevel="0" collapsed="false">
      <c r="B17" s="17" t="s">
        <v>333</v>
      </c>
      <c r="C17" s="95" t="s">
        <v>334</v>
      </c>
    </row>
    <row r="18" customFormat="false" ht="30" hidden="false" customHeight="true" outlineLevel="0" collapsed="false">
      <c r="B18" s="17" t="s">
        <v>335</v>
      </c>
      <c r="C18" s="95" t="s">
        <v>336</v>
      </c>
    </row>
    <row r="19" customFormat="false" ht="30" hidden="false" customHeight="true" outlineLevel="0" collapsed="false">
      <c r="B19" s="17" t="s">
        <v>65</v>
      </c>
      <c r="C19" s="95" t="s">
        <v>337</v>
      </c>
    </row>
    <row r="20" customFormat="false" ht="30" hidden="false" customHeight="true" outlineLevel="0" collapsed="false">
      <c r="B20" s="17" t="s">
        <v>338</v>
      </c>
      <c r="C20" s="95" t="s">
        <v>339</v>
      </c>
    </row>
    <row r="22" customFormat="false" ht="15" hidden="false" customHeight="true" outlineLevel="0" collapsed="false">
      <c r="A22" s="9" t="s">
        <v>340</v>
      </c>
      <c r="B22" s="9"/>
      <c r="C22" s="9"/>
    </row>
    <row r="23" customFormat="false" ht="30" hidden="false" customHeight="true" outlineLevel="0" collapsed="false">
      <c r="B23" s="17" t="s">
        <v>341</v>
      </c>
      <c r="C23" s="95" t="s">
        <v>342</v>
      </c>
    </row>
    <row r="24" customFormat="false" ht="30" hidden="false" customHeight="true" outlineLevel="0" collapsed="false">
      <c r="B24" s="17" t="s">
        <v>343</v>
      </c>
      <c r="C24" s="95" t="s">
        <v>344</v>
      </c>
    </row>
    <row r="25" customFormat="false" ht="30" hidden="false" customHeight="true" outlineLevel="0" collapsed="false">
      <c r="B25" s="17" t="s">
        <v>345</v>
      </c>
      <c r="C25" s="95" t="s">
        <v>346</v>
      </c>
    </row>
    <row r="26" customFormat="false" ht="30" hidden="false" customHeight="true" outlineLevel="0" collapsed="false">
      <c r="B26" s="17" t="s">
        <v>347</v>
      </c>
      <c r="C26" s="95" t="s">
        <v>348</v>
      </c>
    </row>
    <row r="27" customFormat="false" ht="30" hidden="false" customHeight="true" outlineLevel="0" collapsed="false">
      <c r="B27" s="17" t="s">
        <v>349</v>
      </c>
      <c r="C27" s="95" t="s">
        <v>350</v>
      </c>
    </row>
    <row r="28" customFormat="false" ht="30" hidden="false" customHeight="true" outlineLevel="0" collapsed="false">
      <c r="B28" s="17" t="s">
        <v>15</v>
      </c>
      <c r="C28" s="95" t="s">
        <v>351</v>
      </c>
    </row>
    <row r="29" customFormat="false" ht="30" hidden="false" customHeight="true" outlineLevel="0" collapsed="false">
      <c r="B29" s="17" t="s">
        <v>352</v>
      </c>
      <c r="C29" s="95" t="s">
        <v>353</v>
      </c>
    </row>
    <row r="30" customFormat="false" ht="30" hidden="false" customHeight="true" outlineLevel="0" collapsed="false">
      <c r="B30" s="17" t="s">
        <v>354</v>
      </c>
      <c r="C30" s="95" t="s">
        <v>355</v>
      </c>
    </row>
    <row r="31" customFormat="false" ht="30" hidden="false" customHeight="true" outlineLevel="0" collapsed="false">
      <c r="B31" s="17" t="s">
        <v>31</v>
      </c>
      <c r="C31" s="95" t="s">
        <v>356</v>
      </c>
    </row>
    <row r="32" customFormat="false" ht="30" hidden="false" customHeight="true" outlineLevel="0" collapsed="false">
      <c r="B32" s="17" t="s">
        <v>244</v>
      </c>
      <c r="C32" s="95" t="s">
        <v>357</v>
      </c>
    </row>
    <row r="33" customFormat="false" ht="30" hidden="false" customHeight="true" outlineLevel="0" collapsed="false">
      <c r="B33" s="17" t="s">
        <v>358</v>
      </c>
      <c r="C33" s="95" t="s">
        <v>359</v>
      </c>
    </row>
    <row r="34" customFormat="false" ht="30" hidden="false" customHeight="true" outlineLevel="0" collapsed="false">
      <c r="B34" s="17" t="s">
        <v>360</v>
      </c>
      <c r="C34" s="95" t="s">
        <v>361</v>
      </c>
    </row>
    <row r="35" customFormat="false" ht="30" hidden="false" customHeight="true" outlineLevel="0" collapsed="false">
      <c r="B35" s="17" t="s">
        <v>362</v>
      </c>
      <c r="C35" s="95" t="s">
        <v>363</v>
      </c>
    </row>
    <row r="36" customFormat="false" ht="30" hidden="false" customHeight="true" outlineLevel="0" collapsed="false">
      <c r="B36" s="17" t="s">
        <v>90</v>
      </c>
      <c r="C36" s="95" t="s">
        <v>364</v>
      </c>
    </row>
    <row r="37" customFormat="false" ht="30" hidden="false" customHeight="true" outlineLevel="0" collapsed="false">
      <c r="B37" s="17" t="s">
        <v>365</v>
      </c>
      <c r="C37" s="95" t="s">
        <v>366</v>
      </c>
    </row>
  </sheetData>
  <mergeCells count="3">
    <mergeCell ref="B1:C1"/>
    <mergeCell ref="A3:C3"/>
    <mergeCell ref="A22:C2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28B22"/>
    <pageSetUpPr fitToPage="false"/>
  </sheetPr>
  <dimension ref="B1:F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</cols>
  <sheetData>
    <row r="1" customFormat="false" ht="17.25" hidden="false" customHeight="true" outlineLevel="0" collapsed="false">
      <c r="B1" s="19" t="s">
        <v>367</v>
      </c>
      <c r="C1" s="19"/>
      <c r="D1" s="19"/>
      <c r="E1" s="19"/>
      <c r="F1" s="19"/>
    </row>
  </sheetData>
  <mergeCells count="1">
    <mergeCell ref="B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2026-08-14T09:28:07Z</dcterms:created>
  <dc:creator>openpyxl</dc:creator>
  <dc:description/>
  <dc:language>en-US</dc:language>
  <cp:lastModifiedBy/>
  <dcterms:modified xsi:type="dcterms:W3CDTF">2026-08-17T19:58:44Z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